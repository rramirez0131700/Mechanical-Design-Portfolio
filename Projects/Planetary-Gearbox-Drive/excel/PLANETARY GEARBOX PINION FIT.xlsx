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-PH-RAFAEL\Downloads\GEARBOX DESIGN REVIEW GUIDE FILES\"/>
    </mc:Choice>
  </mc:AlternateContent>
  <xr:revisionPtr revIDLastSave="0" documentId="13_ncr:1_{9EE45F8D-0D5B-42F3-9D44-0CF785B29196}" xr6:coauthVersionLast="47" xr6:coauthVersionMax="47" xr10:uidLastSave="{00000000-0000-0000-0000-000000000000}"/>
  <bookViews>
    <workbookView xWindow="-108" yWindow="-108" windowWidth="23256" windowHeight="12456" firstSheet="2" activeTab="4" xr2:uid="{A472C845-49C8-4306-B81A-367EA0B6E04F}"/>
  </bookViews>
  <sheets>
    <sheet name="UPDATED MAXIMUM INTERFERENCE" sheetId="4" r:id="rId1"/>
    <sheet name="UPDATED MINIMUM INTERFERENCE" sheetId="5" r:id="rId2"/>
    <sheet name="MAXIMUM INTERFERENCE" sheetId="2" r:id="rId3"/>
    <sheet name="NOMINAL INTERFERENCE" sheetId="3" r:id="rId4"/>
    <sheet name="MINIMUM INTERFERENCE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C23" i="5" l="1"/>
  <c r="C20" i="5"/>
  <c r="C19" i="5"/>
  <c r="C21" i="5" s="1"/>
  <c r="C18" i="5"/>
  <c r="C17" i="5"/>
  <c r="C33" i="5" l="1"/>
  <c r="C35" i="5" s="1"/>
  <c r="C27" i="5"/>
  <c r="C24" i="5"/>
  <c r="C26" i="5" s="1"/>
  <c r="C25" i="5"/>
  <c r="C23" i="4"/>
  <c r="C20" i="4"/>
  <c r="C19" i="4"/>
  <c r="C18" i="4"/>
  <c r="C27" i="4" s="1"/>
  <c r="C17" i="1"/>
  <c r="C23" i="3"/>
  <c r="C20" i="3"/>
  <c r="C19" i="3"/>
  <c r="C21" i="3" s="1"/>
  <c r="C18" i="3"/>
  <c r="C32" i="3" s="1"/>
  <c r="C34" i="3" s="1"/>
  <c r="C17" i="3"/>
  <c r="C23" i="2"/>
  <c r="C21" i="2"/>
  <c r="C20" i="2"/>
  <c r="C19" i="2"/>
  <c r="C18" i="2"/>
  <c r="C32" i="2" s="1"/>
  <c r="C34" i="2" s="1"/>
  <c r="C23" i="1"/>
  <c r="C19" i="1"/>
  <c r="C18" i="1"/>
  <c r="C32" i="1" s="1"/>
  <c r="C34" i="1" s="1"/>
  <c r="C20" i="1"/>
  <c r="C28" i="5" l="1"/>
  <c r="C29" i="5" s="1"/>
  <c r="C21" i="4"/>
  <c r="C33" i="4"/>
  <c r="C35" i="4" s="1"/>
  <c r="C24" i="4"/>
  <c r="C26" i="4" s="1"/>
  <c r="C25" i="4"/>
  <c r="C24" i="3"/>
  <c r="C25" i="3"/>
  <c r="C24" i="1"/>
  <c r="C24" i="2"/>
  <c r="C26" i="2" s="1"/>
  <c r="C27" i="2" s="1"/>
  <c r="C29" i="2" s="1"/>
  <c r="C25" i="2"/>
  <c r="C25" i="1"/>
  <c r="C21" i="1"/>
  <c r="C30" i="5" l="1"/>
  <c r="C32" i="5"/>
  <c r="C28" i="4"/>
  <c r="C29" i="4" s="1"/>
  <c r="C26" i="1"/>
  <c r="C27" i="1" s="1"/>
  <c r="C28" i="1" s="1"/>
  <c r="C26" i="3"/>
  <c r="C27" i="3" s="1"/>
  <c r="C31" i="3" s="1"/>
  <c r="C31" i="2"/>
  <c r="C28" i="2"/>
  <c r="C30" i="4" l="1"/>
  <c r="C32" i="4"/>
  <c r="C29" i="3"/>
  <c r="C28" i="3"/>
  <c r="C29" i="1"/>
  <c r="C31" i="1"/>
</calcChain>
</file>

<file path=xl/sharedStrings.xml><?xml version="1.0" encoding="utf-8"?>
<sst xmlns="http://schemas.openxmlformats.org/spreadsheetml/2006/main" count="618" uniqueCount="95">
  <si>
    <t>Symbol</t>
  </si>
  <si>
    <t>Description</t>
  </si>
  <si>
    <t>Value</t>
  </si>
  <si>
    <t>Unit</t>
  </si>
  <si>
    <t>Note</t>
  </si>
  <si>
    <t>Di</t>
  </si>
  <si>
    <t>Hole diameter</t>
  </si>
  <si>
    <t>mm</t>
  </si>
  <si>
    <t>ID of the hole/boss hole/gear hole</t>
  </si>
  <si>
    <t>Do</t>
  </si>
  <si>
    <t>OD of the hole</t>
  </si>
  <si>
    <t>OD of the hole/boss/gear hub</t>
  </si>
  <si>
    <t>ID</t>
  </si>
  <si>
    <t>Inside diameter (of a hollow shaft)</t>
  </si>
  <si>
    <t>ID = 0 if Shaft is solid</t>
  </si>
  <si>
    <t>OD</t>
  </si>
  <si>
    <t>Shaft diameter (Outer)</t>
  </si>
  <si>
    <t>OD shaft = Shaft diameter if shaft is solid</t>
  </si>
  <si>
    <t>L</t>
  </si>
  <si>
    <t>Engagement length</t>
  </si>
  <si>
    <t>Effective engagement length</t>
  </si>
  <si>
    <t>Eh</t>
  </si>
  <si>
    <t>Modulus of Elasticity for hole</t>
  </si>
  <si>
    <t>Mpa</t>
  </si>
  <si>
    <t>Modulus of elasticity for POM</t>
  </si>
  <si>
    <t>Es</t>
  </si>
  <si>
    <t>Modulus of Elasticity for shaft</t>
  </si>
  <si>
    <t>Modulus of elasticity for Stainless steel</t>
  </si>
  <si>
    <t>vh</t>
  </si>
  <si>
    <t>Poisson's ratio for hole</t>
  </si>
  <si>
    <t>-</t>
  </si>
  <si>
    <t>Poisson's ratio for POM</t>
  </si>
  <si>
    <t>vs</t>
  </si>
  <si>
    <t>Poisson's ratio for shaft</t>
  </si>
  <si>
    <t>Poisson's ratio for Stainless steel</t>
  </si>
  <si>
    <t>uh</t>
  </si>
  <si>
    <t>coefficient of friction for shaft</t>
  </si>
  <si>
    <t>Stainless steel COF</t>
  </si>
  <si>
    <t>us</t>
  </si>
  <si>
    <t>coefficient of friction for hole</t>
  </si>
  <si>
    <t>u</t>
  </si>
  <si>
    <t>Effective  COF</t>
  </si>
  <si>
    <t>Smallest COF between 2 materials</t>
  </si>
  <si>
    <t>x</t>
  </si>
  <si>
    <t>Radial interference</t>
  </si>
  <si>
    <t>Interference between shaft and hole</t>
  </si>
  <si>
    <t>HOLE SIDE</t>
  </si>
  <si>
    <t>EQUATION</t>
  </si>
  <si>
    <t>Equation</t>
  </si>
  <si>
    <t>SHAFT SIDE</t>
  </si>
  <si>
    <t>TOTAL</t>
  </si>
  <si>
    <t>P</t>
  </si>
  <si>
    <t>CONTACT PRESSURE</t>
  </si>
  <si>
    <t>Interference fit pressure between shaft and hole</t>
  </si>
  <si>
    <t>F</t>
  </si>
  <si>
    <t>PULL OUT FORCE</t>
  </si>
  <si>
    <t>Kg</t>
  </si>
  <si>
    <t>Maximum force the fit can ahandle before strip</t>
  </si>
  <si>
    <t>Ts</t>
  </si>
  <si>
    <t>STRIPPING TORQUE</t>
  </si>
  <si>
    <t>N-mm</t>
  </si>
  <si>
    <t>Maximum torque the fit can ahandle before strip</t>
  </si>
  <si>
    <t>YS</t>
  </si>
  <si>
    <t>YIELD STRENGTH OF WEAKEST MATERIAL</t>
  </si>
  <si>
    <t>FS1</t>
  </si>
  <si>
    <t>PRESSING FACTOR OF SAFETY</t>
  </si>
  <si>
    <t>TO DETERMINE IF PART WILL BREAK OR NOT BASED ON YIELD STRENGTH</t>
  </si>
  <si>
    <t>ELONGATION</t>
  </si>
  <si>
    <t>% ELONGATION DURING PRESSING</t>
  </si>
  <si>
    <t>%</t>
  </si>
  <si>
    <t>PERCENTAGE ELONGATION TO DETERMINE IF PART WILL BREAK OR NOT</t>
  </si>
  <si>
    <t>% ELONGATION</t>
  </si>
  <si>
    <t>% ELONGATION AT BREAK OF WEAKEST MATERIAL</t>
  </si>
  <si>
    <t>FS2</t>
  </si>
  <si>
    <t>FACTOR OF SAFETY FOR BRITTLE MATERIALS TO CHECK IF PARTS WILL BREAK OR NOT BASED ON ELONGATION</t>
  </si>
  <si>
    <t>Elongation at break for POM</t>
  </si>
  <si>
    <t xml:space="preserve">θ </t>
  </si>
  <si>
    <t>Draft Angle</t>
  </si>
  <si>
    <t>deg</t>
  </si>
  <si>
    <t>x'</t>
  </si>
  <si>
    <t>r1</t>
  </si>
  <si>
    <t>Draft Angle contact ratio</t>
  </si>
  <si>
    <t>r2</t>
  </si>
  <si>
    <t>r</t>
  </si>
  <si>
    <t>effecitve draft angle contact ratio</t>
  </si>
  <si>
    <t>Flared width</t>
  </si>
  <si>
    <t>POM COF</t>
  </si>
  <si>
    <t>YIELD STRENGTH OF POM</t>
  </si>
  <si>
    <t>DRAFT ANGLE</t>
  </si>
  <si>
    <t>WIDTH OF THE ID MEASURED FROM THE TOP</t>
  </si>
  <si>
    <t>EFFECTIVE CONTACT RATIO DUE TO DRAFT</t>
  </si>
  <si>
    <t>CONTACT RATIO DUE TO DRAFT</t>
  </si>
  <si>
    <t>PRESS FIT CALCULATOR FOR PULL-OUT FORCE, STRIPPING TORQUE AND PRESSING FACTOR OF SAFETY WITH DRAFT ANGLE CONSIDERATION</t>
  </si>
  <si>
    <t>Effective Contact pressure</t>
  </si>
  <si>
    <t>TO DETERMINE IF PART WILL HAVE PERMANENT DEFORMATION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</si>
</sst>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285589</xdr:colOff>
      <xdr:row>0</xdr:row>
      <xdr:rowOff>56350</xdr:rowOff>
    </xdr:from>
    <xdr:to>
      <xdr:col>18</xdr:col>
      <xdr:colOff>443641</xdr:colOff>
      <xdr:row>16</xdr:row>
      <xdr:rowOff>152346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83898-C990-4F21-8ABF-9DB23604C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9929" y="56350"/>
          <a:ext cx="8082852" cy="3601196"/>
        </a:xfrm>
        <a:prstGeom prst="rect">
          <a:avLst/>
        </a:prstGeom>
      </xdr:spPr>
    </xdr:pic>
    <xdr:clientData/>
  </xdr:twoCellAnchor>
  <xdr:twoCellAnchor editAs="oneCell">
    <xdr:from>
      <xdr:col>6</xdr:col>
      <xdr:colOff>236923</xdr:colOff>
      <xdr:row>17</xdr:row>
      <xdr:rowOff>48026</xdr:rowOff>
    </xdr:from>
    <xdr:to>
      <xdr:col>13</xdr:col>
      <xdr:colOff>287623</xdr:colOff>
      <xdr:row>27</xdr:row>
      <xdr:rowOff>195310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143822-A1D7-4D94-8EE2-1E0B1F09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0863" y="3751346"/>
          <a:ext cx="4317900" cy="2524724"/>
        </a:xfrm>
        <a:prstGeom prst="rect">
          <a:avLst/>
        </a:prstGeom>
      </xdr:spPr>
    </xdr:pic>
    <xdr:clientData/>
  </xdr:twoCellAnchor>
  <xdr:twoCellAnchor editAs="oneCell">
    <xdr:from>
      <xdr:col>5</xdr:col>
      <xdr:colOff>582706</xdr:colOff>
      <xdr:row>29</xdr:row>
      <xdr:rowOff>107576</xdr:rowOff>
    </xdr:from>
    <xdr:to>
      <xdr:col>23</xdr:col>
      <xdr:colOff>346079</xdr:colOff>
      <xdr:row>52</xdr:row>
      <xdr:rowOff>191355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A417B3-8512-83F2-6970-7829D500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50941" y="6562164"/>
          <a:ext cx="10736173" cy="6134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285589</xdr:colOff>
      <xdr:row>0</xdr:row>
      <xdr:rowOff>56350</xdr:rowOff>
    </xdr:from>
    <xdr:to>
      <xdr:col>18</xdr:col>
      <xdr:colOff>443641</xdr:colOff>
      <xdr:row>16</xdr:row>
      <xdr:rowOff>152346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E0DF0-047F-4E64-B04E-75005CF8F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9929" y="56350"/>
          <a:ext cx="8082852" cy="3601196"/>
        </a:xfrm>
        <a:prstGeom prst="rect">
          <a:avLst/>
        </a:prstGeom>
      </xdr:spPr>
    </xdr:pic>
    <xdr:clientData/>
  </xdr:twoCellAnchor>
  <xdr:twoCellAnchor editAs="oneCell">
    <xdr:from>
      <xdr:col>5</xdr:col>
      <xdr:colOff>407252</xdr:colOff>
      <xdr:row>17</xdr:row>
      <xdr:rowOff>39061</xdr:rowOff>
    </xdr:from>
    <xdr:to>
      <xdr:col>12</xdr:col>
      <xdr:colOff>457952</xdr:colOff>
      <xdr:row>27</xdr:row>
      <xdr:rowOff>186345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97ED3B-151D-412C-BCBE-4D5F348C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5487" y="3732520"/>
          <a:ext cx="4317900" cy="2513966"/>
        </a:xfrm>
        <a:prstGeom prst="rect">
          <a:avLst/>
        </a:prstGeom>
      </xdr:spPr>
    </xdr:pic>
    <xdr:clientData/>
  </xdr:twoCellAnchor>
  <xdr:twoCellAnchor editAs="oneCell">
    <xdr:from>
      <xdr:col>5</xdr:col>
      <xdr:colOff>358588</xdr:colOff>
      <xdr:row>29</xdr:row>
      <xdr:rowOff>53789</xdr:rowOff>
    </xdr:from>
    <xdr:to>
      <xdr:col>23</xdr:col>
      <xdr:colOff>121961</xdr:colOff>
      <xdr:row>51</xdr:row>
      <xdr:rowOff>137568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A9E400-6026-402D-E572-B064022A6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6823" y="6508377"/>
          <a:ext cx="10736173" cy="6134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236923</xdr:colOff>
      <xdr:row>17</xdr:row>
      <xdr:rowOff>48026</xdr:rowOff>
    </xdr:from>
    <xdr:to>
      <xdr:col>13</xdr:col>
      <xdr:colOff>287623</xdr:colOff>
      <xdr:row>27</xdr:row>
      <xdr:rowOff>195310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EC187-94E3-498F-951D-5251C394F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0863" y="3614186"/>
          <a:ext cx="4317900" cy="2524724"/>
        </a:xfrm>
        <a:prstGeom prst="rect">
          <a:avLst/>
        </a:prstGeom>
      </xdr:spPr>
    </xdr:pic>
    <xdr:clientData/>
  </xdr:twoCellAnchor>
  <xdr:twoCellAnchor editAs="oneCell">
    <xdr:from>
      <xdr:col>6</xdr:col>
      <xdr:colOff>251011</xdr:colOff>
      <xdr:row>1</xdr:row>
      <xdr:rowOff>360</xdr:rowOff>
    </xdr:from>
    <xdr:to>
      <xdr:col>12</xdr:col>
      <xdr:colOff>506561</xdr:colOff>
      <xdr:row>15</xdr:row>
      <xdr:rowOff>179293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617804-8FCC-137C-8DDA-8419E3801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8846" y="197584"/>
          <a:ext cx="3913150" cy="32807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236923</xdr:colOff>
      <xdr:row>17</xdr:row>
      <xdr:rowOff>48026</xdr:rowOff>
    </xdr:from>
    <xdr:to>
      <xdr:col>13</xdr:col>
      <xdr:colOff>287623</xdr:colOff>
      <xdr:row>27</xdr:row>
      <xdr:rowOff>195310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78E112-DA7E-479F-B87B-C515F4666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0863" y="3751346"/>
          <a:ext cx="4317900" cy="2524724"/>
        </a:xfrm>
        <a:prstGeom prst="rect">
          <a:avLst/>
        </a:prstGeom>
      </xdr:spPr>
    </xdr:pic>
    <xdr:clientData/>
  </xdr:twoCellAnchor>
  <xdr:twoCellAnchor editAs="oneCell">
    <xdr:from>
      <xdr:col>6</xdr:col>
      <xdr:colOff>385481</xdr:colOff>
      <xdr:row>1</xdr:row>
      <xdr:rowOff>2173</xdr:rowOff>
    </xdr:from>
    <xdr:to>
      <xdr:col>13</xdr:col>
      <xdr:colOff>188259</xdr:colOff>
      <xdr:row>16</xdr:row>
      <xdr:rowOff>115366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00248-934E-3ED8-7AC7-3F4BD7BB2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3316" y="199397"/>
          <a:ext cx="4069978" cy="34122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236923</xdr:colOff>
      <xdr:row>17</xdr:row>
      <xdr:rowOff>48026</xdr:rowOff>
    </xdr:from>
    <xdr:to>
      <xdr:col>13</xdr:col>
      <xdr:colOff>287623</xdr:colOff>
      <xdr:row>27</xdr:row>
      <xdr:rowOff>195310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810F5B-9FD0-E4AC-5D3F-AE5AAEF76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452" y="3598050"/>
          <a:ext cx="4317900" cy="2764529"/>
        </a:xfrm>
        <a:prstGeom prst="rect">
          <a:avLst/>
        </a:prstGeom>
      </xdr:spPr>
    </xdr:pic>
    <xdr:clientData/>
  </xdr:twoCellAnchor>
  <xdr:twoCellAnchor editAs="oneCell">
    <xdr:from>
      <xdr:col>6</xdr:col>
      <xdr:colOff>213911</xdr:colOff>
      <xdr:row>2</xdr:row>
      <xdr:rowOff>106680</xdr:rowOff>
    </xdr:from>
    <xdr:to>
      <xdr:col>12</xdr:col>
      <xdr:colOff>102041</xdr:colOff>
      <xdr:row>15</xdr:row>
      <xdr:rowOff>138043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A7FC86-43E8-950A-C1E1-21536C862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851" y="502920"/>
          <a:ext cx="3545730" cy="2972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E5BC-EB61-41BF-BEFF-D35B35C1F158}">
  <dimension ref="A1:H35"/>
  <sheetViews>
    <sheetView topLeftCell="A4" zoomScale="85" zoomScaleNormal="85" workbookViewId="0">
      <selection activeCell="E38" sqref="E38"/>
    </sheetView>
  </sheetViews>
  <sheetFormatPr defaultColWidth="8.88671875" defaultRowHeight="15.6" x14ac:dyDescent="0.3"/>
  <cols>
    <col min="1" max="1" width="16.6640625" style="1" customWidth="1"/>
    <col min="2" max="2" width="29.88671875" style="1" customWidth="1"/>
    <col min="3" max="4" width="12.109375" style="1" customWidth="1"/>
    <col min="5" max="5" width="46.6640625" style="1" customWidth="1"/>
    <col min="6" max="16384" width="8.88671875" style="1"/>
  </cols>
  <sheetData>
    <row r="1" spans="1:8" x14ac:dyDescent="0.3">
      <c r="A1" s="15" t="s">
        <v>92</v>
      </c>
      <c r="B1" s="15"/>
      <c r="C1" s="15"/>
      <c r="D1" s="15"/>
      <c r="E1" s="15"/>
      <c r="F1" s="2"/>
      <c r="G1" s="2"/>
      <c r="H1" s="2"/>
    </row>
    <row r="2" spans="1:8" x14ac:dyDescent="0.3">
      <c r="A2" s="15"/>
      <c r="B2" s="15"/>
      <c r="C2" s="15"/>
      <c r="D2" s="15"/>
      <c r="E2" s="15"/>
      <c r="F2" s="2"/>
      <c r="G2" s="2"/>
      <c r="H2" s="2"/>
    </row>
    <row r="3" spans="1:8" x14ac:dyDescent="0.3">
      <c r="A3" s="15"/>
      <c r="B3" s="15"/>
      <c r="C3" s="15"/>
      <c r="D3" s="15"/>
      <c r="E3" s="15"/>
      <c r="F3" s="2"/>
      <c r="G3" s="2"/>
      <c r="H3" s="2"/>
    </row>
    <row r="4" spans="1:8" x14ac:dyDescent="0.3">
      <c r="A4" s="15"/>
      <c r="B4" s="15"/>
      <c r="C4" s="15"/>
      <c r="D4" s="15"/>
      <c r="E4" s="15"/>
    </row>
    <row r="5" spans="1:8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8" ht="21" x14ac:dyDescent="0.3">
      <c r="A6" s="3" t="s">
        <v>5</v>
      </c>
      <c r="B6" s="3" t="s">
        <v>6</v>
      </c>
      <c r="C6" s="10">
        <v>2.0499999999999998</v>
      </c>
      <c r="D6" s="3" t="s">
        <v>7</v>
      </c>
      <c r="E6" s="3" t="s">
        <v>8</v>
      </c>
    </row>
    <row r="7" spans="1:8" x14ac:dyDescent="0.3">
      <c r="A7" s="3" t="s">
        <v>9</v>
      </c>
      <c r="B7" s="3" t="s">
        <v>10</v>
      </c>
      <c r="C7" s="4">
        <v>5.7</v>
      </c>
      <c r="D7" s="3" t="s">
        <v>7</v>
      </c>
      <c r="E7" s="3" t="s">
        <v>11</v>
      </c>
    </row>
    <row r="8" spans="1:8" ht="31.2" x14ac:dyDescent="0.3">
      <c r="A8" s="3" t="s">
        <v>12</v>
      </c>
      <c r="B8" s="3" t="s">
        <v>13</v>
      </c>
      <c r="C8" s="4">
        <v>0</v>
      </c>
      <c r="D8" s="3" t="s">
        <v>7</v>
      </c>
      <c r="E8" s="3" t="s">
        <v>14</v>
      </c>
    </row>
    <row r="9" spans="1:8" ht="21" x14ac:dyDescent="0.3">
      <c r="A9" s="3" t="s">
        <v>15</v>
      </c>
      <c r="B9" s="3" t="s">
        <v>16</v>
      </c>
      <c r="C9" s="10">
        <v>2.3050000000000002</v>
      </c>
      <c r="D9" s="3" t="s">
        <v>7</v>
      </c>
      <c r="E9" s="3" t="s">
        <v>17</v>
      </c>
    </row>
    <row r="10" spans="1:8" x14ac:dyDescent="0.3">
      <c r="A10" s="3" t="s">
        <v>18</v>
      </c>
      <c r="B10" s="3" t="s">
        <v>19</v>
      </c>
      <c r="C10" s="4">
        <v>5.5</v>
      </c>
      <c r="D10" s="3" t="s">
        <v>7</v>
      </c>
      <c r="E10" s="3" t="s">
        <v>20</v>
      </c>
    </row>
    <row r="11" spans="1:8" x14ac:dyDescent="0.3">
      <c r="A11" s="3" t="s">
        <v>21</v>
      </c>
      <c r="B11" s="3" t="s">
        <v>22</v>
      </c>
      <c r="C11" s="4">
        <v>2760</v>
      </c>
      <c r="D11" s="3" t="s">
        <v>23</v>
      </c>
      <c r="E11" s="3" t="s">
        <v>24</v>
      </c>
    </row>
    <row r="12" spans="1:8" x14ac:dyDescent="0.3">
      <c r="A12" s="3" t="s">
        <v>25</v>
      </c>
      <c r="B12" s="3" t="s">
        <v>26</v>
      </c>
      <c r="C12" s="4">
        <v>190000</v>
      </c>
      <c r="D12" s="3" t="s">
        <v>23</v>
      </c>
      <c r="E12" s="3" t="s">
        <v>27</v>
      </c>
    </row>
    <row r="13" spans="1:8" x14ac:dyDescent="0.3">
      <c r="A13" s="3" t="s">
        <v>28</v>
      </c>
      <c r="B13" s="3" t="s">
        <v>29</v>
      </c>
      <c r="C13" s="4">
        <v>0.4</v>
      </c>
      <c r="D13" s="3" t="s">
        <v>30</v>
      </c>
      <c r="E13" s="3" t="s">
        <v>31</v>
      </c>
    </row>
    <row r="14" spans="1:8" x14ac:dyDescent="0.3">
      <c r="A14" s="3" t="s">
        <v>32</v>
      </c>
      <c r="B14" s="3" t="s">
        <v>33</v>
      </c>
      <c r="C14" s="4">
        <v>0.35</v>
      </c>
      <c r="D14" s="3" t="s">
        <v>30</v>
      </c>
      <c r="E14" s="3" t="s">
        <v>34</v>
      </c>
    </row>
    <row r="15" spans="1:8" x14ac:dyDescent="0.3">
      <c r="A15" s="3" t="s">
        <v>35</v>
      </c>
      <c r="B15" s="5" t="s">
        <v>36</v>
      </c>
      <c r="C15" s="4">
        <v>0.3</v>
      </c>
      <c r="D15" s="3" t="s">
        <v>30</v>
      </c>
      <c r="E15" s="3" t="s">
        <v>37</v>
      </c>
    </row>
    <row r="16" spans="1:8" x14ac:dyDescent="0.3">
      <c r="A16" s="3" t="s">
        <v>38</v>
      </c>
      <c r="B16" s="5" t="s">
        <v>39</v>
      </c>
      <c r="C16" s="4">
        <v>0.11</v>
      </c>
      <c r="D16" s="3" t="s">
        <v>30</v>
      </c>
      <c r="E16" s="3" t="s">
        <v>86</v>
      </c>
    </row>
    <row r="17" spans="1:5" x14ac:dyDescent="0.3">
      <c r="A17" s="3" t="s">
        <v>40</v>
      </c>
      <c r="B17" s="5" t="s">
        <v>41</v>
      </c>
      <c r="C17" s="4">
        <f>MIN(C15,C16)</f>
        <v>0.11</v>
      </c>
      <c r="D17" s="3" t="s">
        <v>30</v>
      </c>
      <c r="E17" s="3" t="s">
        <v>42</v>
      </c>
    </row>
    <row r="18" spans="1:5" x14ac:dyDescent="0.3">
      <c r="A18" s="3" t="s">
        <v>43</v>
      </c>
      <c r="B18" s="3" t="s">
        <v>44</v>
      </c>
      <c r="C18" s="6">
        <f>(C9-C6)/2</f>
        <v>0.12750000000000017</v>
      </c>
      <c r="D18" s="3" t="s">
        <v>7</v>
      </c>
      <c r="E18" s="3" t="s">
        <v>45</v>
      </c>
    </row>
    <row r="19" spans="1:5" x14ac:dyDescent="0.3">
      <c r="A19" s="3" t="s">
        <v>46</v>
      </c>
      <c r="B19" s="3" t="s">
        <v>47</v>
      </c>
      <c r="C19" s="6">
        <f>(C9/C11)*((((C7)^2+(C9)^2)/((C7)^2-(C9)^2)+C13))</f>
        <v>1.4957400410121791E-3</v>
      </c>
      <c r="D19" s="5" t="s">
        <v>30</v>
      </c>
      <c r="E19" s="3" t="s">
        <v>48</v>
      </c>
    </row>
    <row r="20" spans="1:5" x14ac:dyDescent="0.3">
      <c r="A20" s="3" t="s">
        <v>49</v>
      </c>
      <c r="B20" s="3" t="s">
        <v>47</v>
      </c>
      <c r="C20" s="6">
        <f>(C9/C12)*((((C7)^2+(C8)^2)/((C7)^2-(C8)^2)-C14))</f>
        <v>7.8855263157894754E-6</v>
      </c>
      <c r="D20" s="5" t="s">
        <v>30</v>
      </c>
      <c r="E20" s="3" t="s">
        <v>48</v>
      </c>
    </row>
    <row r="21" spans="1:5" x14ac:dyDescent="0.3">
      <c r="A21" s="3" t="s">
        <v>50</v>
      </c>
      <c r="B21" s="3" t="s">
        <v>47</v>
      </c>
      <c r="C21" s="6">
        <f>SUM(C19:C20)</f>
        <v>1.5036255673279686E-3</v>
      </c>
      <c r="D21" s="5" t="s">
        <v>30</v>
      </c>
      <c r="E21" s="3" t="s">
        <v>48</v>
      </c>
    </row>
    <row r="22" spans="1:5" x14ac:dyDescent="0.3">
      <c r="A22" s="7" t="s">
        <v>76</v>
      </c>
      <c r="B22" s="7" t="s">
        <v>77</v>
      </c>
      <c r="C22" s="8">
        <v>0.03</v>
      </c>
      <c r="D22" s="7" t="s">
        <v>78</v>
      </c>
      <c r="E22" s="3" t="s">
        <v>88</v>
      </c>
    </row>
    <row r="23" spans="1:5" x14ac:dyDescent="0.3">
      <c r="A23" s="7" t="s">
        <v>79</v>
      </c>
      <c r="B23" s="7" t="s">
        <v>85</v>
      </c>
      <c r="C23" s="9">
        <f>C10*TAN(C22*PI()/180)</f>
        <v>2.879793528961231E-3</v>
      </c>
      <c r="D23" s="7" t="s">
        <v>7</v>
      </c>
      <c r="E23" s="3" t="s">
        <v>89</v>
      </c>
    </row>
    <row r="24" spans="1:5" x14ac:dyDescent="0.3">
      <c r="A24" s="7" t="s">
        <v>80</v>
      </c>
      <c r="B24" s="7" t="s">
        <v>81</v>
      </c>
      <c r="C24" s="9">
        <f>((C18*C10)-(0.5*C23*C10))/(C10*C18)</f>
        <v>0.98870669204328931</v>
      </c>
      <c r="D24" s="7" t="s">
        <v>30</v>
      </c>
      <c r="E24" s="3" t="s">
        <v>91</v>
      </c>
    </row>
    <row r="25" spans="1:5" x14ac:dyDescent="0.3">
      <c r="A25" s="7" t="s">
        <v>82</v>
      </c>
      <c r="B25" s="7" t="s">
        <v>81</v>
      </c>
      <c r="C25" s="9">
        <f>(0.5*(C18*C10/C23)*C18)/(C18*C10)</f>
        <v>22.137003697968346</v>
      </c>
      <c r="D25" s="7" t="s">
        <v>30</v>
      </c>
      <c r="E25" s="3" t="s">
        <v>91</v>
      </c>
    </row>
    <row r="26" spans="1:5" x14ac:dyDescent="0.3">
      <c r="A26" s="7" t="s">
        <v>83</v>
      </c>
      <c r="B26" s="7" t="s">
        <v>84</v>
      </c>
      <c r="C26" s="9">
        <f>IF(C23&gt;C18,C25,C24)</f>
        <v>0.98870669204328931</v>
      </c>
      <c r="D26" s="7" t="s">
        <v>30</v>
      </c>
      <c r="E26" s="3" t="s">
        <v>90</v>
      </c>
    </row>
    <row r="27" spans="1:5" x14ac:dyDescent="0.3">
      <c r="A27" s="3" t="s">
        <v>51</v>
      </c>
      <c r="B27" s="3" t="s">
        <v>52</v>
      </c>
      <c r="C27" s="6">
        <f>(C18/C21)</f>
        <v>84.795046566396977</v>
      </c>
      <c r="D27" s="3" t="s">
        <v>23</v>
      </c>
      <c r="E27" s="3" t="s">
        <v>53</v>
      </c>
    </row>
    <row r="28" spans="1:5" x14ac:dyDescent="0.3">
      <c r="A28" s="3" t="s">
        <v>51</v>
      </c>
      <c r="B28" s="3" t="s">
        <v>93</v>
      </c>
      <c r="C28" s="6">
        <f>IF(C31&lt;C27,C31,C27)</f>
        <v>65</v>
      </c>
      <c r="D28" s="3" t="s">
        <v>23</v>
      </c>
      <c r="E28" s="3" t="s">
        <v>93</v>
      </c>
    </row>
    <row r="29" spans="1:5" x14ac:dyDescent="0.3">
      <c r="A29" s="3" t="s">
        <v>54</v>
      </c>
      <c r="B29" s="3" t="s">
        <v>55</v>
      </c>
      <c r="C29" s="6">
        <f>C28*PI()*C9*C10*C17/9.81</f>
        <v>29.02822805209734</v>
      </c>
      <c r="D29" s="3" t="s">
        <v>56</v>
      </c>
      <c r="E29" s="3" t="s">
        <v>57</v>
      </c>
    </row>
    <row r="30" spans="1:5" x14ac:dyDescent="0.3">
      <c r="A30" s="3" t="s">
        <v>58</v>
      </c>
      <c r="B30" s="3" t="s">
        <v>59</v>
      </c>
      <c r="C30" s="6">
        <f>C17*C28*PI()*((C9^2)/2)*C10</f>
        <v>328.19387206271392</v>
      </c>
      <c r="D30" s="3" t="s">
        <v>60</v>
      </c>
      <c r="E30" s="3" t="s">
        <v>61</v>
      </c>
    </row>
    <row r="31" spans="1:5" ht="31.2" x14ac:dyDescent="0.3">
      <c r="A31" s="3" t="s">
        <v>62</v>
      </c>
      <c r="B31" s="3" t="s">
        <v>63</v>
      </c>
      <c r="C31" s="4">
        <v>65</v>
      </c>
      <c r="D31" s="3" t="s">
        <v>23</v>
      </c>
      <c r="E31" s="3" t="s">
        <v>87</v>
      </c>
    </row>
    <row r="32" spans="1:5" ht="39" customHeight="1" x14ac:dyDescent="0.3">
      <c r="A32" s="3" t="s">
        <v>64</v>
      </c>
      <c r="B32" s="3" t="s">
        <v>65</v>
      </c>
      <c r="C32" s="6">
        <f>C31/C28</f>
        <v>1</v>
      </c>
      <c r="D32" s="3" t="s">
        <v>30</v>
      </c>
      <c r="E32" s="3" t="s">
        <v>66</v>
      </c>
    </row>
    <row r="33" spans="1:5" ht="40.5" customHeight="1" x14ac:dyDescent="0.3">
      <c r="A33" s="3" t="s">
        <v>67</v>
      </c>
      <c r="B33" s="3" t="s">
        <v>68</v>
      </c>
      <c r="C33" s="6">
        <f>(C18/((C7-C6)/2)*100)</f>
        <v>6.9863013698630221</v>
      </c>
      <c r="D33" s="3" t="s">
        <v>69</v>
      </c>
      <c r="E33" s="3" t="s">
        <v>70</v>
      </c>
    </row>
    <row r="34" spans="1:5" ht="31.2" x14ac:dyDescent="0.3">
      <c r="A34" s="3" t="s">
        <v>71</v>
      </c>
      <c r="B34" s="3" t="s">
        <v>72</v>
      </c>
      <c r="C34" s="4">
        <v>30</v>
      </c>
      <c r="D34" s="3" t="s">
        <v>69</v>
      </c>
      <c r="E34" s="3" t="s">
        <v>75</v>
      </c>
    </row>
    <row r="35" spans="1:5" ht="56.25" customHeight="1" x14ac:dyDescent="0.3">
      <c r="A35" s="3" t="s">
        <v>73</v>
      </c>
      <c r="B35" s="3" t="s">
        <v>65</v>
      </c>
      <c r="C35" s="6">
        <f>C34/C33</f>
        <v>4.294117647058818</v>
      </c>
      <c r="D35" s="3" t="s">
        <v>30</v>
      </c>
      <c r="E35" s="3" t="s">
        <v>74</v>
      </c>
    </row>
  </sheetData>
  <mergeCells count="1">
    <mergeCell ref="A1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D95A-CDC4-486A-B89A-EACB85368B14}">
  <dimension ref="A1:H35"/>
  <sheetViews>
    <sheetView zoomScale="85" zoomScaleNormal="85" workbookViewId="0">
      <selection activeCell="K34" sqref="K34"/>
    </sheetView>
  </sheetViews>
  <sheetFormatPr defaultColWidth="8.88671875" defaultRowHeight="15.6" x14ac:dyDescent="0.3"/>
  <cols>
    <col min="1" max="1" width="16.6640625" style="1" customWidth="1"/>
    <col min="2" max="2" width="29.88671875" style="1" customWidth="1"/>
    <col min="3" max="4" width="12.109375" style="1" customWidth="1"/>
    <col min="5" max="5" width="46.6640625" style="1" customWidth="1"/>
    <col min="6" max="16384" width="8.88671875" style="1"/>
  </cols>
  <sheetData>
    <row r="1" spans="1:8" ht="15.6" customHeight="1" x14ac:dyDescent="0.3">
      <c r="A1" s="15" t="s">
        <v>92</v>
      </c>
      <c r="B1" s="15"/>
      <c r="C1" s="15"/>
      <c r="D1" s="15"/>
      <c r="E1" s="15"/>
      <c r="F1" s="2"/>
      <c r="G1" s="2"/>
      <c r="H1" s="2"/>
    </row>
    <row r="2" spans="1:8" x14ac:dyDescent="0.3">
      <c r="A2" s="15"/>
      <c r="B2" s="15"/>
      <c r="C2" s="15"/>
      <c r="D2" s="15"/>
      <c r="E2" s="15"/>
      <c r="F2" s="2"/>
      <c r="G2" s="2"/>
      <c r="H2" s="2"/>
    </row>
    <row r="3" spans="1:8" x14ac:dyDescent="0.3">
      <c r="A3" s="15"/>
      <c r="B3" s="15"/>
      <c r="C3" s="15"/>
      <c r="D3" s="15"/>
      <c r="E3" s="15"/>
      <c r="F3" s="2"/>
      <c r="G3" s="2"/>
      <c r="H3" s="2"/>
    </row>
    <row r="4" spans="1:8" x14ac:dyDescent="0.3">
      <c r="A4" s="15"/>
      <c r="B4" s="15"/>
      <c r="C4" s="15"/>
      <c r="D4" s="15"/>
      <c r="E4" s="15"/>
    </row>
    <row r="5" spans="1:8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8" ht="21" x14ac:dyDescent="0.3">
      <c r="A6" s="3" t="s">
        <v>5</v>
      </c>
      <c r="B6" s="3" t="s">
        <v>6</v>
      </c>
      <c r="C6" s="10">
        <v>2.14</v>
      </c>
      <c r="D6" s="3" t="s">
        <v>7</v>
      </c>
      <c r="E6" s="3" t="s">
        <v>8</v>
      </c>
    </row>
    <row r="7" spans="1:8" x14ac:dyDescent="0.3">
      <c r="A7" s="3" t="s">
        <v>9</v>
      </c>
      <c r="B7" s="3" t="s">
        <v>10</v>
      </c>
      <c r="C7" s="4">
        <v>5.7</v>
      </c>
      <c r="D7" s="3" t="s">
        <v>7</v>
      </c>
      <c r="E7" s="3" t="s">
        <v>11</v>
      </c>
    </row>
    <row r="8" spans="1:8" ht="31.2" x14ac:dyDescent="0.3">
      <c r="A8" s="3" t="s">
        <v>12</v>
      </c>
      <c r="B8" s="3" t="s">
        <v>13</v>
      </c>
      <c r="C8" s="4">
        <v>0</v>
      </c>
      <c r="D8" s="3" t="s">
        <v>7</v>
      </c>
      <c r="E8" s="3" t="s">
        <v>14</v>
      </c>
    </row>
    <row r="9" spans="1:8" ht="21" x14ac:dyDescent="0.3">
      <c r="A9" s="3" t="s">
        <v>15</v>
      </c>
      <c r="B9" s="3" t="s">
        <v>16</v>
      </c>
      <c r="C9" s="10">
        <v>2.2999999999999998</v>
      </c>
      <c r="D9" s="3" t="s">
        <v>7</v>
      </c>
      <c r="E9" s="3" t="s">
        <v>17</v>
      </c>
    </row>
    <row r="10" spans="1:8" x14ac:dyDescent="0.3">
      <c r="A10" s="3" t="s">
        <v>18</v>
      </c>
      <c r="B10" s="3" t="s">
        <v>19</v>
      </c>
      <c r="C10" s="4">
        <v>5.5</v>
      </c>
      <c r="D10" s="3" t="s">
        <v>7</v>
      </c>
      <c r="E10" s="3" t="s">
        <v>20</v>
      </c>
    </row>
    <row r="11" spans="1:8" x14ac:dyDescent="0.3">
      <c r="A11" s="3" t="s">
        <v>21</v>
      </c>
      <c r="B11" s="3" t="s">
        <v>22</v>
      </c>
      <c r="C11" s="4">
        <v>2760</v>
      </c>
      <c r="D11" s="3" t="s">
        <v>23</v>
      </c>
      <c r="E11" s="3" t="s">
        <v>24</v>
      </c>
    </row>
    <row r="12" spans="1:8" x14ac:dyDescent="0.3">
      <c r="A12" s="3" t="s">
        <v>25</v>
      </c>
      <c r="B12" s="3" t="s">
        <v>26</v>
      </c>
      <c r="C12" s="4">
        <v>190000</v>
      </c>
      <c r="D12" s="3" t="s">
        <v>23</v>
      </c>
      <c r="E12" s="3" t="s">
        <v>27</v>
      </c>
    </row>
    <row r="13" spans="1:8" x14ac:dyDescent="0.3">
      <c r="A13" s="3" t="s">
        <v>28</v>
      </c>
      <c r="B13" s="3" t="s">
        <v>29</v>
      </c>
      <c r="C13" s="4">
        <v>0.4</v>
      </c>
      <c r="D13" s="3" t="s">
        <v>30</v>
      </c>
      <c r="E13" s="3" t="s">
        <v>31</v>
      </c>
    </row>
    <row r="14" spans="1:8" x14ac:dyDescent="0.3">
      <c r="A14" s="3" t="s">
        <v>32</v>
      </c>
      <c r="B14" s="3" t="s">
        <v>33</v>
      </c>
      <c r="C14" s="4">
        <v>0.35</v>
      </c>
      <c r="D14" s="3" t="s">
        <v>30</v>
      </c>
      <c r="E14" s="3" t="s">
        <v>34</v>
      </c>
    </row>
    <row r="15" spans="1:8" x14ac:dyDescent="0.3">
      <c r="A15" s="3" t="s">
        <v>35</v>
      </c>
      <c r="B15" s="5" t="s">
        <v>36</v>
      </c>
      <c r="C15" s="4">
        <v>0.3</v>
      </c>
      <c r="D15" s="3" t="s">
        <v>30</v>
      </c>
      <c r="E15" s="3" t="s">
        <v>37</v>
      </c>
    </row>
    <row r="16" spans="1:8" x14ac:dyDescent="0.3">
      <c r="A16" s="3" t="s">
        <v>38</v>
      </c>
      <c r="B16" s="5" t="s">
        <v>39</v>
      </c>
      <c r="C16" s="4">
        <v>0.11</v>
      </c>
      <c r="D16" s="3" t="s">
        <v>30</v>
      </c>
      <c r="E16" s="3" t="s">
        <v>86</v>
      </c>
    </row>
    <row r="17" spans="1:5" x14ac:dyDescent="0.3">
      <c r="A17" s="3" t="s">
        <v>40</v>
      </c>
      <c r="B17" s="5" t="s">
        <v>41</v>
      </c>
      <c r="C17" s="4">
        <f>MIN(C15,C16)</f>
        <v>0.11</v>
      </c>
      <c r="D17" s="3" t="s">
        <v>30</v>
      </c>
      <c r="E17" s="3" t="s">
        <v>42</v>
      </c>
    </row>
    <row r="18" spans="1:5" x14ac:dyDescent="0.3">
      <c r="A18" s="3" t="s">
        <v>43</v>
      </c>
      <c r="B18" s="3" t="s">
        <v>44</v>
      </c>
      <c r="C18" s="6">
        <f>(C9-C6)/2</f>
        <v>7.9999999999999849E-2</v>
      </c>
      <c r="D18" s="3" t="s">
        <v>7</v>
      </c>
      <c r="E18" s="3" t="s">
        <v>45</v>
      </c>
    </row>
    <row r="19" spans="1:5" x14ac:dyDescent="0.3">
      <c r="A19" s="3" t="s">
        <v>46</v>
      </c>
      <c r="B19" s="3" t="s">
        <v>47</v>
      </c>
      <c r="C19" s="6">
        <f>(C9/C11)*((((C7)^2+(C9)^2)/((C7)^2-(C9)^2)+C13))</f>
        <v>1.4908088235294117E-3</v>
      </c>
      <c r="D19" s="5" t="s">
        <v>30</v>
      </c>
      <c r="E19" s="3" t="s">
        <v>48</v>
      </c>
    </row>
    <row r="20" spans="1:5" x14ac:dyDescent="0.3">
      <c r="A20" s="3" t="s">
        <v>49</v>
      </c>
      <c r="B20" s="3" t="s">
        <v>47</v>
      </c>
      <c r="C20" s="6">
        <f>(C9/C12)*((((C7)^2+(C8)^2)/((C7)^2-(C8)^2)-C14))</f>
        <v>7.8684210526315779E-6</v>
      </c>
      <c r="D20" s="5" t="s">
        <v>30</v>
      </c>
      <c r="E20" s="3" t="s">
        <v>48</v>
      </c>
    </row>
    <row r="21" spans="1:5" x14ac:dyDescent="0.3">
      <c r="A21" s="3" t="s">
        <v>50</v>
      </c>
      <c r="B21" s="3" t="s">
        <v>47</v>
      </c>
      <c r="C21" s="6">
        <f>SUM(C19:C20)</f>
        <v>1.4986772445820433E-3</v>
      </c>
      <c r="D21" s="5" t="s">
        <v>30</v>
      </c>
      <c r="E21" s="3" t="s">
        <v>48</v>
      </c>
    </row>
    <row r="22" spans="1:5" x14ac:dyDescent="0.3">
      <c r="A22" s="7" t="s">
        <v>76</v>
      </c>
      <c r="B22" s="7" t="s">
        <v>77</v>
      </c>
      <c r="C22" s="8">
        <v>0.03</v>
      </c>
      <c r="D22" s="7" t="s">
        <v>78</v>
      </c>
      <c r="E22" s="3" t="s">
        <v>88</v>
      </c>
    </row>
    <row r="23" spans="1:5" ht="31.2" customHeight="1" x14ac:dyDescent="0.3">
      <c r="A23" s="7" t="s">
        <v>79</v>
      </c>
      <c r="B23" s="7" t="s">
        <v>85</v>
      </c>
      <c r="C23" s="9">
        <f>C10*TAN(C22*PI()/180)</f>
        <v>2.879793528961231E-3</v>
      </c>
      <c r="D23" s="7" t="s">
        <v>7</v>
      </c>
      <c r="E23" s="3" t="s">
        <v>89</v>
      </c>
    </row>
    <row r="24" spans="1:5" x14ac:dyDescent="0.3">
      <c r="A24" s="7" t="s">
        <v>80</v>
      </c>
      <c r="B24" s="7" t="s">
        <v>81</v>
      </c>
      <c r="C24" s="9">
        <f>((C18*C10)-(0.5*C23*C10))/(C10*C18)</f>
        <v>0.98200129044399231</v>
      </c>
      <c r="D24" s="7" t="s">
        <v>30</v>
      </c>
      <c r="E24" s="3" t="s">
        <v>91</v>
      </c>
    </row>
    <row r="25" spans="1:5" x14ac:dyDescent="0.3">
      <c r="A25" s="7" t="s">
        <v>82</v>
      </c>
      <c r="B25" s="7" t="s">
        <v>81</v>
      </c>
      <c r="C25" s="9">
        <f>(0.5*(C18*C10/C23)*C18)/(C18*C10)</f>
        <v>13.889884673234997</v>
      </c>
      <c r="D25" s="7" t="s">
        <v>30</v>
      </c>
      <c r="E25" s="3" t="s">
        <v>91</v>
      </c>
    </row>
    <row r="26" spans="1:5" ht="31.2" customHeight="1" x14ac:dyDescent="0.3">
      <c r="A26" s="7" t="s">
        <v>83</v>
      </c>
      <c r="B26" s="7" t="s">
        <v>84</v>
      </c>
      <c r="C26" s="9">
        <f>IF(C23&gt;C18,C25,C24)</f>
        <v>0.98200129044399231</v>
      </c>
      <c r="D26" s="7" t="s">
        <v>30</v>
      </c>
      <c r="E26" s="3" t="s">
        <v>90</v>
      </c>
    </row>
    <row r="27" spans="1:5" x14ac:dyDescent="0.3">
      <c r="A27" s="3" t="s">
        <v>51</v>
      </c>
      <c r="B27" s="3" t="s">
        <v>52</v>
      </c>
      <c r="C27" s="6">
        <f>(C18/C21)</f>
        <v>53.380406147629571</v>
      </c>
      <c r="D27" s="3" t="s">
        <v>23</v>
      </c>
      <c r="E27" s="3" t="s">
        <v>53</v>
      </c>
    </row>
    <row r="28" spans="1:5" x14ac:dyDescent="0.3">
      <c r="A28" s="3" t="s">
        <v>51</v>
      </c>
      <c r="B28" s="3" t="s">
        <v>93</v>
      </c>
      <c r="C28" s="6">
        <f>IF(C31&lt;C27,C31,C27)</f>
        <v>53.380406147629571</v>
      </c>
      <c r="D28" s="3" t="s">
        <v>23</v>
      </c>
      <c r="E28" s="3" t="s">
        <v>93</v>
      </c>
    </row>
    <row r="29" spans="1:5" x14ac:dyDescent="0.3">
      <c r="A29" s="3" t="s">
        <v>54</v>
      </c>
      <c r="B29" s="3" t="s">
        <v>55</v>
      </c>
      <c r="C29" s="6">
        <f>(C28*PI()*C9*C10*C17/9.81)*C26</f>
        <v>23.359202323886635</v>
      </c>
      <c r="D29" s="3" t="s">
        <v>56</v>
      </c>
      <c r="E29" s="3" t="s">
        <v>57</v>
      </c>
    </row>
    <row r="30" spans="1:5" x14ac:dyDescent="0.3">
      <c r="A30" s="3" t="s">
        <v>58</v>
      </c>
      <c r="B30" s="3" t="s">
        <v>59</v>
      </c>
      <c r="C30" s="6">
        <f>C17*C28*PI()*((C9^2)/2)*C10</f>
        <v>268.35691926410675</v>
      </c>
      <c r="D30" s="3" t="s">
        <v>60</v>
      </c>
      <c r="E30" s="3" t="s">
        <v>61</v>
      </c>
    </row>
    <row r="31" spans="1:5" ht="39" customHeight="1" x14ac:dyDescent="0.3">
      <c r="A31" s="3" t="s">
        <v>62</v>
      </c>
      <c r="B31" s="3" t="s">
        <v>63</v>
      </c>
      <c r="C31" s="4">
        <v>65</v>
      </c>
      <c r="D31" s="3" t="s">
        <v>23</v>
      </c>
      <c r="E31" s="3" t="s">
        <v>87</v>
      </c>
    </row>
    <row r="32" spans="1:5" ht="40.5" customHeight="1" x14ac:dyDescent="0.3">
      <c r="A32" s="3" t="s">
        <v>64</v>
      </c>
      <c r="B32" s="3" t="s">
        <v>65</v>
      </c>
      <c r="C32" s="6">
        <f>C31/C28</f>
        <v>1.2176752612229125</v>
      </c>
      <c r="D32" s="3" t="s">
        <v>30</v>
      </c>
      <c r="E32" s="3" t="s">
        <v>66</v>
      </c>
    </row>
    <row r="33" spans="1:5" ht="31.2" x14ac:dyDescent="0.3">
      <c r="A33" s="3" t="s">
        <v>67</v>
      </c>
      <c r="B33" s="3" t="s">
        <v>68</v>
      </c>
      <c r="C33" s="6">
        <f>(C18/((C7-C6)/2)*100)</f>
        <v>4.4943820224719015</v>
      </c>
      <c r="D33" s="3" t="s">
        <v>69</v>
      </c>
      <c r="E33" s="3" t="s">
        <v>70</v>
      </c>
    </row>
    <row r="34" spans="1:5" ht="56.25" customHeight="1" x14ac:dyDescent="0.3">
      <c r="A34" s="3" t="s">
        <v>71</v>
      </c>
      <c r="B34" s="3" t="s">
        <v>72</v>
      </c>
      <c r="C34" s="4">
        <v>30</v>
      </c>
      <c r="D34" s="3" t="s">
        <v>69</v>
      </c>
      <c r="E34" s="3" t="s">
        <v>75</v>
      </c>
    </row>
    <row r="35" spans="1:5" ht="46.8" x14ac:dyDescent="0.3">
      <c r="A35" s="3" t="s">
        <v>73</v>
      </c>
      <c r="B35" s="3" t="s">
        <v>65</v>
      </c>
      <c r="C35" s="6">
        <f>C34/C33</f>
        <v>6.6750000000000131</v>
      </c>
      <c r="D35" s="3" t="s">
        <v>30</v>
      </c>
      <c r="E35" s="3" t="s">
        <v>74</v>
      </c>
    </row>
  </sheetData>
  <mergeCells count="1">
    <mergeCell ref="A1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128F-08B5-418F-8D12-18749F40FAB1}">
  <dimension ref="A1:H34"/>
  <sheetViews>
    <sheetView topLeftCell="A4" zoomScale="85" zoomScaleNormal="85" workbookViewId="0">
      <selection activeCell="C23" sqref="C23"/>
    </sheetView>
  </sheetViews>
  <sheetFormatPr defaultColWidth="8.88671875" defaultRowHeight="15.6" x14ac:dyDescent="0.3"/>
  <cols>
    <col min="1" max="1" width="16.6640625" style="1" customWidth="1"/>
    <col min="2" max="2" width="29.88671875" style="1" customWidth="1"/>
    <col min="3" max="4" width="12.109375" style="1" customWidth="1"/>
    <col min="5" max="5" width="46.6640625" style="1" customWidth="1"/>
    <col min="6" max="16384" width="8.88671875" style="1"/>
  </cols>
  <sheetData>
    <row r="1" spans="1:8" x14ac:dyDescent="0.3">
      <c r="A1" s="15" t="s">
        <v>92</v>
      </c>
      <c r="B1" s="15"/>
      <c r="C1" s="15"/>
      <c r="D1" s="15"/>
      <c r="E1" s="15"/>
      <c r="F1" s="2"/>
      <c r="G1" s="2"/>
      <c r="H1" s="2"/>
    </row>
    <row r="2" spans="1:8" x14ac:dyDescent="0.3">
      <c r="A2" s="15"/>
      <c r="B2" s="15"/>
      <c r="C2" s="15"/>
      <c r="D2" s="15"/>
      <c r="E2" s="15"/>
      <c r="F2" s="2"/>
      <c r="G2" s="2"/>
      <c r="H2" s="2"/>
    </row>
    <row r="3" spans="1:8" x14ac:dyDescent="0.3">
      <c r="A3" s="15"/>
      <c r="B3" s="15"/>
      <c r="C3" s="15"/>
      <c r="D3" s="15"/>
      <c r="E3" s="15"/>
      <c r="F3" s="2"/>
      <c r="G3" s="2"/>
      <c r="H3" s="2"/>
    </row>
    <row r="4" spans="1:8" x14ac:dyDescent="0.3">
      <c r="A4" s="15"/>
      <c r="B4" s="15"/>
      <c r="C4" s="15"/>
      <c r="D4" s="15"/>
      <c r="E4" s="15"/>
    </row>
    <row r="5" spans="1:8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8" ht="21" x14ac:dyDescent="0.3">
      <c r="A6" s="3" t="s">
        <v>5</v>
      </c>
      <c r="B6" s="3" t="s">
        <v>6</v>
      </c>
      <c r="C6" s="10">
        <v>2.0499999999999998</v>
      </c>
      <c r="D6" s="3" t="s">
        <v>7</v>
      </c>
      <c r="E6" s="3" t="s">
        <v>8</v>
      </c>
    </row>
    <row r="7" spans="1:8" x14ac:dyDescent="0.3">
      <c r="A7" s="3" t="s">
        <v>9</v>
      </c>
      <c r="B7" s="3" t="s">
        <v>10</v>
      </c>
      <c r="C7" s="4">
        <v>5.84</v>
      </c>
      <c r="D7" s="3" t="s">
        <v>7</v>
      </c>
      <c r="E7" s="3" t="s">
        <v>11</v>
      </c>
    </row>
    <row r="8" spans="1:8" ht="31.2" x14ac:dyDescent="0.3">
      <c r="A8" s="3" t="s">
        <v>12</v>
      </c>
      <c r="B8" s="3" t="s">
        <v>13</v>
      </c>
      <c r="C8" s="4">
        <v>0</v>
      </c>
      <c r="D8" s="3" t="s">
        <v>7</v>
      </c>
      <c r="E8" s="3" t="s">
        <v>14</v>
      </c>
    </row>
    <row r="9" spans="1:8" ht="21" x14ac:dyDescent="0.3">
      <c r="A9" s="3" t="s">
        <v>15</v>
      </c>
      <c r="B9" s="3" t="s">
        <v>16</v>
      </c>
      <c r="C9" s="10">
        <v>2.2999999999999998</v>
      </c>
      <c r="D9" s="3" t="s">
        <v>7</v>
      </c>
      <c r="E9" s="3" t="s">
        <v>17</v>
      </c>
    </row>
    <row r="10" spans="1:8" x14ac:dyDescent="0.3">
      <c r="A10" s="3" t="s">
        <v>18</v>
      </c>
      <c r="B10" s="3" t="s">
        <v>19</v>
      </c>
      <c r="C10" s="4">
        <v>10</v>
      </c>
      <c r="D10" s="3" t="s">
        <v>7</v>
      </c>
      <c r="E10" s="3" t="s">
        <v>20</v>
      </c>
    </row>
    <row r="11" spans="1:8" x14ac:dyDescent="0.3">
      <c r="A11" s="3" t="s">
        <v>21</v>
      </c>
      <c r="B11" s="3" t="s">
        <v>22</v>
      </c>
      <c r="C11" s="4">
        <v>2760</v>
      </c>
      <c r="D11" s="3" t="s">
        <v>23</v>
      </c>
      <c r="E11" s="3" t="s">
        <v>24</v>
      </c>
    </row>
    <row r="12" spans="1:8" x14ac:dyDescent="0.3">
      <c r="A12" s="3" t="s">
        <v>25</v>
      </c>
      <c r="B12" s="3" t="s">
        <v>26</v>
      </c>
      <c r="C12" s="4">
        <v>190000</v>
      </c>
      <c r="D12" s="3" t="s">
        <v>23</v>
      </c>
      <c r="E12" s="3" t="s">
        <v>27</v>
      </c>
    </row>
    <row r="13" spans="1:8" x14ac:dyDescent="0.3">
      <c r="A13" s="3" t="s">
        <v>28</v>
      </c>
      <c r="B13" s="3" t="s">
        <v>29</v>
      </c>
      <c r="C13" s="4">
        <v>0.4</v>
      </c>
      <c r="D13" s="3" t="s">
        <v>30</v>
      </c>
      <c r="E13" s="3" t="s">
        <v>31</v>
      </c>
    </row>
    <row r="14" spans="1:8" x14ac:dyDescent="0.3">
      <c r="A14" s="3" t="s">
        <v>32</v>
      </c>
      <c r="B14" s="3" t="s">
        <v>33</v>
      </c>
      <c r="C14" s="4">
        <v>0.35</v>
      </c>
      <c r="D14" s="3" t="s">
        <v>30</v>
      </c>
      <c r="E14" s="3" t="s">
        <v>34</v>
      </c>
    </row>
    <row r="15" spans="1:8" x14ac:dyDescent="0.3">
      <c r="A15" s="3" t="s">
        <v>35</v>
      </c>
      <c r="B15" s="5" t="s">
        <v>36</v>
      </c>
      <c r="C15" s="4">
        <v>0.3</v>
      </c>
      <c r="D15" s="3" t="s">
        <v>30</v>
      </c>
      <c r="E15" s="3" t="s">
        <v>37</v>
      </c>
    </row>
    <row r="16" spans="1:8" x14ac:dyDescent="0.3">
      <c r="A16" s="3" t="s">
        <v>38</v>
      </c>
      <c r="B16" s="5" t="s">
        <v>39</v>
      </c>
      <c r="C16" s="4">
        <v>0.11</v>
      </c>
      <c r="D16" s="3" t="s">
        <v>30</v>
      </c>
      <c r="E16" s="3" t="s">
        <v>86</v>
      </c>
    </row>
    <row r="17" spans="1:5" x14ac:dyDescent="0.3">
      <c r="A17" s="3" t="s">
        <v>40</v>
      </c>
      <c r="B17" s="5" t="s">
        <v>41</v>
      </c>
      <c r="C17" s="4">
        <v>0.1</v>
      </c>
      <c r="D17" s="3" t="s">
        <v>30</v>
      </c>
      <c r="E17" s="3" t="s">
        <v>42</v>
      </c>
    </row>
    <row r="18" spans="1:5" x14ac:dyDescent="0.3">
      <c r="A18" s="3" t="s">
        <v>43</v>
      </c>
      <c r="B18" s="3" t="s">
        <v>44</v>
      </c>
      <c r="C18" s="6">
        <f>(C9-C6)/2</f>
        <v>0.125</v>
      </c>
      <c r="D18" s="3" t="s">
        <v>7</v>
      </c>
      <c r="E18" s="3" t="s">
        <v>45</v>
      </c>
    </row>
    <row r="19" spans="1:5" x14ac:dyDescent="0.3">
      <c r="A19" s="3" t="s">
        <v>46</v>
      </c>
      <c r="B19" s="3" t="s">
        <v>47</v>
      </c>
      <c r="C19" s="6">
        <f>(C9/C11)*((((C7)^2+(C9)^2)/((C7)^2-(C9)^2)+C13))</f>
        <v>1.4726351929741761E-3</v>
      </c>
      <c r="D19" s="5" t="s">
        <v>30</v>
      </c>
      <c r="E19" s="3" t="s">
        <v>48</v>
      </c>
    </row>
    <row r="20" spans="1:5" x14ac:dyDescent="0.3">
      <c r="A20" s="3" t="s">
        <v>49</v>
      </c>
      <c r="B20" s="3" t="s">
        <v>47</v>
      </c>
      <c r="C20" s="6">
        <f>(C9/C12)*((((C7)^2+(C8)^2)/((C7)^2-(C8)^2)-C14))</f>
        <v>7.8684210526315779E-6</v>
      </c>
      <c r="D20" s="5" t="s">
        <v>30</v>
      </c>
      <c r="E20" s="3" t="s">
        <v>48</v>
      </c>
    </row>
    <row r="21" spans="1:5" x14ac:dyDescent="0.3">
      <c r="A21" s="3" t="s">
        <v>50</v>
      </c>
      <c r="B21" s="3" t="s">
        <v>47</v>
      </c>
      <c r="C21" s="6">
        <f>SUM(C19:C20)</f>
        <v>1.4805036140268077E-3</v>
      </c>
      <c r="D21" s="5" t="s">
        <v>30</v>
      </c>
      <c r="E21" s="3" t="s">
        <v>48</v>
      </c>
    </row>
    <row r="22" spans="1:5" x14ac:dyDescent="0.3">
      <c r="A22" s="7" t="s">
        <v>76</v>
      </c>
      <c r="B22" s="7" t="s">
        <v>77</v>
      </c>
      <c r="C22" s="8">
        <v>0.5</v>
      </c>
      <c r="D22" s="7" t="s">
        <v>78</v>
      </c>
      <c r="E22" s="3" t="s">
        <v>88</v>
      </c>
    </row>
    <row r="23" spans="1:5" ht="31.2" x14ac:dyDescent="0.3">
      <c r="A23" s="7" t="s">
        <v>79</v>
      </c>
      <c r="B23" s="7" t="s">
        <v>85</v>
      </c>
      <c r="C23" s="9">
        <f>C10*TAN(C22*PI()/180)</f>
        <v>8.7268677907587897E-2</v>
      </c>
      <c r="D23" s="7" t="s">
        <v>7</v>
      </c>
      <c r="E23" s="3" t="s">
        <v>89</v>
      </c>
    </row>
    <row r="24" spans="1:5" x14ac:dyDescent="0.3">
      <c r="A24" s="7" t="s">
        <v>80</v>
      </c>
      <c r="B24" s="7" t="s">
        <v>81</v>
      </c>
      <c r="C24" s="9">
        <f>((C18*C10)-(0.5*C23*C10))/(C10*C18)</f>
        <v>0.65092528836964836</v>
      </c>
      <c r="D24" s="7" t="s">
        <v>30</v>
      </c>
      <c r="E24" s="3" t="s">
        <v>91</v>
      </c>
    </row>
    <row r="25" spans="1:5" x14ac:dyDescent="0.3">
      <c r="A25" s="7" t="s">
        <v>82</v>
      </c>
      <c r="B25" s="7" t="s">
        <v>81</v>
      </c>
      <c r="C25" s="9">
        <f>(0.5*(C18*C10/C23)*C18)/(C18*C10)</f>
        <v>0.71617906330818504</v>
      </c>
      <c r="D25" s="7" t="s">
        <v>30</v>
      </c>
      <c r="E25" s="3" t="s">
        <v>91</v>
      </c>
    </row>
    <row r="26" spans="1:5" x14ac:dyDescent="0.3">
      <c r="A26" s="7" t="s">
        <v>83</v>
      </c>
      <c r="B26" s="7" t="s">
        <v>84</v>
      </c>
      <c r="C26" s="9">
        <f>IF(C23&gt;C18,C25,C24)</f>
        <v>0.65092528836964836</v>
      </c>
      <c r="D26" s="7" t="s">
        <v>30</v>
      </c>
      <c r="E26" s="3" t="s">
        <v>90</v>
      </c>
    </row>
    <row r="27" spans="1:5" x14ac:dyDescent="0.3">
      <c r="A27" s="3" t="s">
        <v>51</v>
      </c>
      <c r="B27" s="3" t="s">
        <v>52</v>
      </c>
      <c r="C27" s="6">
        <f>(C18/C21)*C26</f>
        <v>54.958096876846085</v>
      </c>
      <c r="D27" s="3" t="s">
        <v>23</v>
      </c>
      <c r="E27" s="3" t="s">
        <v>53</v>
      </c>
    </row>
    <row r="28" spans="1:5" ht="21" x14ac:dyDescent="0.3">
      <c r="A28" s="3" t="s">
        <v>54</v>
      </c>
      <c r="B28" s="3" t="s">
        <v>55</v>
      </c>
      <c r="C28" s="12">
        <f>C27*PI()*C9*C10*C17/9.81</f>
        <v>40.47998907525222</v>
      </c>
      <c r="D28" s="3" t="s">
        <v>56</v>
      </c>
      <c r="E28" s="3" t="s">
        <v>57</v>
      </c>
    </row>
    <row r="29" spans="1:5" ht="21" x14ac:dyDescent="0.3">
      <c r="A29" s="3" t="s">
        <v>58</v>
      </c>
      <c r="B29" s="3" t="s">
        <v>59</v>
      </c>
      <c r="C29" s="12">
        <f>C17*C27*PI()*((C9^2)/2)*C10</f>
        <v>456.67499675245807</v>
      </c>
      <c r="D29" s="3" t="s">
        <v>60</v>
      </c>
      <c r="E29" s="3" t="s">
        <v>61</v>
      </c>
    </row>
    <row r="30" spans="1:5" ht="31.2" x14ac:dyDescent="0.3">
      <c r="A30" s="3" t="s">
        <v>62</v>
      </c>
      <c r="B30" s="3" t="s">
        <v>63</v>
      </c>
      <c r="C30" s="4">
        <v>62</v>
      </c>
      <c r="D30" s="3" t="s">
        <v>23</v>
      </c>
      <c r="E30" s="3" t="s">
        <v>87</v>
      </c>
    </row>
    <row r="31" spans="1:5" ht="39" customHeight="1" x14ac:dyDescent="0.3">
      <c r="A31" s="3" t="s">
        <v>64</v>
      </c>
      <c r="B31" s="3" t="s">
        <v>65</v>
      </c>
      <c r="C31" s="6">
        <f>C30/C27</f>
        <v>1.1281322229722384</v>
      </c>
      <c r="D31" s="3" t="s">
        <v>30</v>
      </c>
      <c r="E31" s="3" t="s">
        <v>94</v>
      </c>
    </row>
    <row r="32" spans="1:5" ht="40.5" customHeight="1" x14ac:dyDescent="0.3">
      <c r="A32" s="3" t="s">
        <v>67</v>
      </c>
      <c r="B32" s="3" t="s">
        <v>68</v>
      </c>
      <c r="C32" s="6">
        <f>(C18/((C7-C6)/2)*100)</f>
        <v>6.5963060686015833</v>
      </c>
      <c r="D32" s="3" t="s">
        <v>69</v>
      </c>
      <c r="E32" s="3" t="s">
        <v>70</v>
      </c>
    </row>
    <row r="33" spans="1:5" ht="31.2" x14ac:dyDescent="0.3">
      <c r="A33" s="3" t="s">
        <v>71</v>
      </c>
      <c r="B33" s="3" t="s">
        <v>72</v>
      </c>
      <c r="C33" s="4">
        <v>30</v>
      </c>
      <c r="D33" s="3" t="s">
        <v>69</v>
      </c>
      <c r="E33" s="3" t="s">
        <v>75</v>
      </c>
    </row>
    <row r="34" spans="1:5" ht="56.25" customHeight="1" x14ac:dyDescent="0.3">
      <c r="A34" s="3" t="s">
        <v>73</v>
      </c>
      <c r="B34" s="3" t="s">
        <v>65</v>
      </c>
      <c r="C34" s="6">
        <f>C33/C32</f>
        <v>4.548</v>
      </c>
      <c r="D34" s="3" t="s">
        <v>30</v>
      </c>
      <c r="E34" s="3" t="s">
        <v>74</v>
      </c>
    </row>
  </sheetData>
  <mergeCells count="1">
    <mergeCell ref="A1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DB36-EF88-4BDF-B24F-8D7FD5641EC1}">
  <dimension ref="A1:H34"/>
  <sheetViews>
    <sheetView topLeftCell="A11" zoomScale="85" zoomScaleNormal="85" workbookViewId="0">
      <selection activeCell="C23" sqref="C23"/>
    </sheetView>
  </sheetViews>
  <sheetFormatPr defaultColWidth="8.88671875" defaultRowHeight="15.6" x14ac:dyDescent="0.3"/>
  <cols>
    <col min="1" max="1" width="16.6640625" style="1" customWidth="1"/>
    <col min="2" max="2" width="29.88671875" style="1" customWidth="1"/>
    <col min="3" max="4" width="12.109375" style="1" customWidth="1"/>
    <col min="5" max="5" width="46.6640625" style="1" customWidth="1"/>
    <col min="6" max="16384" width="8.88671875" style="1"/>
  </cols>
  <sheetData>
    <row r="1" spans="1:8" x14ac:dyDescent="0.3">
      <c r="A1" s="15" t="s">
        <v>92</v>
      </c>
      <c r="B1" s="15"/>
      <c r="C1" s="15"/>
      <c r="D1" s="15"/>
      <c r="E1" s="15"/>
      <c r="F1" s="2"/>
      <c r="G1" s="2"/>
      <c r="H1" s="2"/>
    </row>
    <row r="2" spans="1:8" x14ac:dyDescent="0.3">
      <c r="A2" s="15"/>
      <c r="B2" s="15"/>
      <c r="C2" s="15"/>
      <c r="D2" s="15"/>
      <c r="E2" s="15"/>
      <c r="F2" s="2"/>
      <c r="G2" s="2"/>
      <c r="H2" s="2"/>
    </row>
    <row r="3" spans="1:8" x14ac:dyDescent="0.3">
      <c r="A3" s="15"/>
      <c r="B3" s="15"/>
      <c r="C3" s="15"/>
      <c r="D3" s="15"/>
      <c r="E3" s="15"/>
      <c r="F3" s="2"/>
      <c r="G3" s="2"/>
      <c r="H3" s="2"/>
    </row>
    <row r="4" spans="1:8" x14ac:dyDescent="0.3">
      <c r="A4" s="15"/>
      <c r="B4" s="15"/>
      <c r="C4" s="15"/>
      <c r="D4" s="15"/>
      <c r="E4" s="15"/>
    </row>
    <row r="5" spans="1:8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8" ht="21" x14ac:dyDescent="0.3">
      <c r="A6" s="3" t="s">
        <v>5</v>
      </c>
      <c r="B6" s="3" t="s">
        <v>6</v>
      </c>
      <c r="C6" s="10">
        <v>2.1</v>
      </c>
      <c r="D6" s="3" t="s">
        <v>7</v>
      </c>
      <c r="E6" s="3" t="s">
        <v>8</v>
      </c>
    </row>
    <row r="7" spans="1:8" x14ac:dyDescent="0.3">
      <c r="A7" s="3" t="s">
        <v>9</v>
      </c>
      <c r="B7" s="3" t="s">
        <v>10</v>
      </c>
      <c r="C7" s="4">
        <v>5.84</v>
      </c>
      <c r="D7" s="3" t="s">
        <v>7</v>
      </c>
      <c r="E7" s="3" t="s">
        <v>11</v>
      </c>
    </row>
    <row r="8" spans="1:8" ht="31.2" x14ac:dyDescent="0.3">
      <c r="A8" s="3" t="s">
        <v>12</v>
      </c>
      <c r="B8" s="3" t="s">
        <v>13</v>
      </c>
      <c r="C8" s="4">
        <v>0</v>
      </c>
      <c r="D8" s="3" t="s">
        <v>7</v>
      </c>
      <c r="E8" s="3" t="s">
        <v>14</v>
      </c>
    </row>
    <row r="9" spans="1:8" ht="21" x14ac:dyDescent="0.3">
      <c r="A9" s="3" t="s">
        <v>15</v>
      </c>
      <c r="B9" s="3" t="s">
        <v>16</v>
      </c>
      <c r="C9" s="10">
        <v>2.2999999999999998</v>
      </c>
      <c r="D9" s="3" t="s">
        <v>7</v>
      </c>
      <c r="E9" s="3" t="s">
        <v>17</v>
      </c>
    </row>
    <row r="10" spans="1:8" x14ac:dyDescent="0.3">
      <c r="A10" s="3" t="s">
        <v>18</v>
      </c>
      <c r="B10" s="3" t="s">
        <v>19</v>
      </c>
      <c r="C10" s="4">
        <v>10</v>
      </c>
      <c r="D10" s="3" t="s">
        <v>7</v>
      </c>
      <c r="E10" s="3" t="s">
        <v>20</v>
      </c>
    </row>
    <row r="11" spans="1:8" x14ac:dyDescent="0.3">
      <c r="A11" s="3" t="s">
        <v>21</v>
      </c>
      <c r="B11" s="3" t="s">
        <v>22</v>
      </c>
      <c r="C11" s="4">
        <v>2760</v>
      </c>
      <c r="D11" s="3" t="s">
        <v>23</v>
      </c>
      <c r="E11" s="3" t="s">
        <v>24</v>
      </c>
    </row>
    <row r="12" spans="1:8" x14ac:dyDescent="0.3">
      <c r="A12" s="3" t="s">
        <v>25</v>
      </c>
      <c r="B12" s="3" t="s">
        <v>26</v>
      </c>
      <c r="C12" s="4">
        <v>190000</v>
      </c>
      <c r="D12" s="3" t="s">
        <v>23</v>
      </c>
      <c r="E12" s="3" t="s">
        <v>27</v>
      </c>
    </row>
    <row r="13" spans="1:8" x14ac:dyDescent="0.3">
      <c r="A13" s="3" t="s">
        <v>28</v>
      </c>
      <c r="B13" s="3" t="s">
        <v>29</v>
      </c>
      <c r="C13" s="4">
        <v>0.4</v>
      </c>
      <c r="D13" s="3" t="s">
        <v>30</v>
      </c>
      <c r="E13" s="3" t="s">
        <v>31</v>
      </c>
    </row>
    <row r="14" spans="1:8" x14ac:dyDescent="0.3">
      <c r="A14" s="3" t="s">
        <v>32</v>
      </c>
      <c r="B14" s="3" t="s">
        <v>33</v>
      </c>
      <c r="C14" s="4">
        <v>0.35</v>
      </c>
      <c r="D14" s="3" t="s">
        <v>30</v>
      </c>
      <c r="E14" s="3" t="s">
        <v>34</v>
      </c>
    </row>
    <row r="15" spans="1:8" x14ac:dyDescent="0.3">
      <c r="A15" s="3" t="s">
        <v>35</v>
      </c>
      <c r="B15" s="5" t="s">
        <v>36</v>
      </c>
      <c r="C15" s="4">
        <v>0.3</v>
      </c>
      <c r="D15" s="3" t="s">
        <v>30</v>
      </c>
      <c r="E15" s="3" t="s">
        <v>37</v>
      </c>
    </row>
    <row r="16" spans="1:8" x14ac:dyDescent="0.3">
      <c r="A16" s="3" t="s">
        <v>38</v>
      </c>
      <c r="B16" s="5" t="s">
        <v>39</v>
      </c>
      <c r="C16" s="4">
        <v>0.11</v>
      </c>
      <c r="D16" s="3" t="s">
        <v>30</v>
      </c>
      <c r="E16" s="3" t="s">
        <v>86</v>
      </c>
    </row>
    <row r="17" spans="1:5" x14ac:dyDescent="0.3">
      <c r="A17" s="3" t="s">
        <v>40</v>
      </c>
      <c r="B17" s="5" t="s">
        <v>41</v>
      </c>
      <c r="C17" s="4">
        <f>MIN(C15,C16)</f>
        <v>0.11</v>
      </c>
      <c r="D17" s="3" t="s">
        <v>30</v>
      </c>
      <c r="E17" s="3" t="s">
        <v>42</v>
      </c>
    </row>
    <row r="18" spans="1:5" x14ac:dyDescent="0.3">
      <c r="A18" s="3" t="s">
        <v>43</v>
      </c>
      <c r="B18" s="3" t="s">
        <v>44</v>
      </c>
      <c r="C18" s="6">
        <f>(C9-C6)/2</f>
        <v>9.9999999999999867E-2</v>
      </c>
      <c r="D18" s="3" t="s">
        <v>7</v>
      </c>
      <c r="E18" s="3" t="s">
        <v>45</v>
      </c>
    </row>
    <row r="19" spans="1:5" x14ac:dyDescent="0.3">
      <c r="A19" s="3" t="s">
        <v>46</v>
      </c>
      <c r="B19" s="3" t="s">
        <v>47</v>
      </c>
      <c r="C19" s="6">
        <f>(C9/C11)*((((C7)^2+(C9)^2)/((C7)^2-(C9)^2)+C13))</f>
        <v>1.4726351929741761E-3</v>
      </c>
      <c r="D19" s="5" t="s">
        <v>30</v>
      </c>
      <c r="E19" s="3" t="s">
        <v>48</v>
      </c>
    </row>
    <row r="20" spans="1:5" x14ac:dyDescent="0.3">
      <c r="A20" s="3" t="s">
        <v>49</v>
      </c>
      <c r="B20" s="3" t="s">
        <v>47</v>
      </c>
      <c r="C20" s="6">
        <f>(C9/C12)*((((C7)^2+(C8)^2)/((C7)^2-(C8)^2)-C14))</f>
        <v>7.8684210526315779E-6</v>
      </c>
      <c r="D20" s="5" t="s">
        <v>30</v>
      </c>
      <c r="E20" s="3" t="s">
        <v>48</v>
      </c>
    </row>
    <row r="21" spans="1:5" x14ac:dyDescent="0.3">
      <c r="A21" s="3" t="s">
        <v>50</v>
      </c>
      <c r="B21" s="3" t="s">
        <v>47</v>
      </c>
      <c r="C21" s="6">
        <f>SUM(C19:C20)</f>
        <v>1.4805036140268077E-3</v>
      </c>
      <c r="D21" s="5" t="s">
        <v>30</v>
      </c>
      <c r="E21" s="3" t="s">
        <v>48</v>
      </c>
    </row>
    <row r="22" spans="1:5" x14ac:dyDescent="0.3">
      <c r="A22" s="7" t="s">
        <v>76</v>
      </c>
      <c r="B22" s="7" t="s">
        <v>77</v>
      </c>
      <c r="C22" s="8">
        <v>0.5</v>
      </c>
      <c r="D22" s="7" t="s">
        <v>78</v>
      </c>
      <c r="E22" s="3" t="s">
        <v>88</v>
      </c>
    </row>
    <row r="23" spans="1:5" x14ac:dyDescent="0.3">
      <c r="A23" s="7" t="s">
        <v>79</v>
      </c>
      <c r="B23" s="7" t="s">
        <v>85</v>
      </c>
      <c r="C23" s="9">
        <f>C10*TAN(C22*PI()/180)</f>
        <v>8.7268677907587897E-2</v>
      </c>
      <c r="D23" s="7" t="s">
        <v>7</v>
      </c>
      <c r="E23" s="3" t="s">
        <v>89</v>
      </c>
    </row>
    <row r="24" spans="1:5" x14ac:dyDescent="0.3">
      <c r="A24" s="7" t="s">
        <v>80</v>
      </c>
      <c r="B24" s="7" t="s">
        <v>81</v>
      </c>
      <c r="C24" s="9">
        <f>((C18*C10)-(0.5*C23*C10))/(C10*C18)</f>
        <v>0.56365661046205995</v>
      </c>
      <c r="D24" s="7" t="s">
        <v>30</v>
      </c>
      <c r="E24" s="3" t="s">
        <v>91</v>
      </c>
    </row>
    <row r="25" spans="1:5" x14ac:dyDescent="0.3">
      <c r="A25" s="7" t="s">
        <v>82</v>
      </c>
      <c r="B25" s="7" t="s">
        <v>81</v>
      </c>
      <c r="C25" s="9">
        <f>(0.5*(C18*C10/C23)*C18)/(C18*C10)</f>
        <v>0.57294325064654728</v>
      </c>
      <c r="D25" s="7" t="s">
        <v>30</v>
      </c>
      <c r="E25" s="3" t="s">
        <v>91</v>
      </c>
    </row>
    <row r="26" spans="1:5" x14ac:dyDescent="0.3">
      <c r="A26" s="7" t="s">
        <v>83</v>
      </c>
      <c r="B26" s="7" t="s">
        <v>84</v>
      </c>
      <c r="C26" s="9">
        <f>IF(C23&gt;C18,C25,C24)</f>
        <v>0.56365661046205995</v>
      </c>
      <c r="D26" s="7" t="s">
        <v>30</v>
      </c>
      <c r="E26" s="3" t="s">
        <v>90</v>
      </c>
    </row>
    <row r="27" spans="1:5" x14ac:dyDescent="0.3">
      <c r="A27" s="3" t="s">
        <v>51</v>
      </c>
      <c r="B27" s="3" t="s">
        <v>52</v>
      </c>
      <c r="C27" s="6">
        <f>(C18/C21)*C26</f>
        <v>38.071950998415666</v>
      </c>
      <c r="D27" s="3" t="s">
        <v>23</v>
      </c>
      <c r="E27" s="3" t="s">
        <v>53</v>
      </c>
    </row>
    <row r="28" spans="1:5" ht="21" x14ac:dyDescent="0.3">
      <c r="A28" s="3" t="s">
        <v>54</v>
      </c>
      <c r="B28" s="3" t="s">
        <v>55</v>
      </c>
      <c r="C28" s="12">
        <f>C27*PI()*C9*C10*C17/9.81</f>
        <v>30.846544419782539</v>
      </c>
      <c r="D28" s="3" t="s">
        <v>56</v>
      </c>
      <c r="E28" s="3" t="s">
        <v>57</v>
      </c>
    </row>
    <row r="29" spans="1:5" x14ac:dyDescent="0.3">
      <c r="A29" s="3" t="s">
        <v>58</v>
      </c>
      <c r="B29" s="3" t="s">
        <v>59</v>
      </c>
      <c r="C29" s="6">
        <f>C17*C27*PI()*((C9^2)/2)*C10</f>
        <v>347.99529087177666</v>
      </c>
      <c r="D29" s="3" t="s">
        <v>60</v>
      </c>
      <c r="E29" s="3" t="s">
        <v>61</v>
      </c>
    </row>
    <row r="30" spans="1:5" ht="31.2" x14ac:dyDescent="0.3">
      <c r="A30" s="3" t="s">
        <v>62</v>
      </c>
      <c r="B30" s="3" t="s">
        <v>63</v>
      </c>
      <c r="C30" s="4">
        <v>62</v>
      </c>
      <c r="D30" s="3" t="s">
        <v>23</v>
      </c>
      <c r="E30" s="3" t="s">
        <v>87</v>
      </c>
    </row>
    <row r="31" spans="1:5" ht="39" customHeight="1" x14ac:dyDescent="0.3">
      <c r="A31" s="3" t="s">
        <v>64</v>
      </c>
      <c r="B31" s="3" t="s">
        <v>65</v>
      </c>
      <c r="C31" s="6">
        <f>C30/C27</f>
        <v>1.6284954769609805</v>
      </c>
      <c r="D31" s="3" t="s">
        <v>30</v>
      </c>
      <c r="E31" s="3" t="s">
        <v>94</v>
      </c>
    </row>
    <row r="32" spans="1:5" ht="40.5" customHeight="1" x14ac:dyDescent="0.3">
      <c r="A32" s="3" t="s">
        <v>67</v>
      </c>
      <c r="B32" s="3" t="s">
        <v>68</v>
      </c>
      <c r="C32" s="6">
        <f>(C18/((C7-C6)/2)*100)</f>
        <v>5.3475935828876935</v>
      </c>
      <c r="D32" s="3" t="s">
        <v>69</v>
      </c>
      <c r="E32" s="3" t="s">
        <v>70</v>
      </c>
    </row>
    <row r="33" spans="1:5" ht="31.2" x14ac:dyDescent="0.3">
      <c r="A33" s="3" t="s">
        <v>71</v>
      </c>
      <c r="B33" s="3" t="s">
        <v>72</v>
      </c>
      <c r="C33" s="4">
        <v>30</v>
      </c>
      <c r="D33" s="3" t="s">
        <v>69</v>
      </c>
      <c r="E33" s="3" t="s">
        <v>75</v>
      </c>
    </row>
    <row r="34" spans="1:5" ht="56.25" customHeight="1" x14ac:dyDescent="0.3">
      <c r="A34" s="3" t="s">
        <v>73</v>
      </c>
      <c r="B34" s="3" t="s">
        <v>65</v>
      </c>
      <c r="C34" s="6">
        <f>C33/C32</f>
        <v>5.6100000000000074</v>
      </c>
      <c r="D34" s="3" t="s">
        <v>30</v>
      </c>
      <c r="E34" s="3" t="s">
        <v>74</v>
      </c>
    </row>
  </sheetData>
  <mergeCells count="1">
    <mergeCell ref="A1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0719-2021-4B0C-97AF-4F00541DD784}">
  <dimension ref="A1:H34"/>
  <sheetViews>
    <sheetView tabSelected="1" zoomScaleNormal="100" workbookViewId="0">
      <selection activeCell="F8" sqref="F8"/>
    </sheetView>
  </sheetViews>
  <sheetFormatPr defaultColWidth="8.88671875" defaultRowHeight="15.6" x14ac:dyDescent="0.3"/>
  <cols>
    <col min="1" max="1" width="16.6640625" style="1" customWidth="1"/>
    <col min="2" max="2" width="29.88671875" style="1" customWidth="1"/>
    <col min="3" max="4" width="12.109375" style="1" customWidth="1"/>
    <col min="5" max="5" width="46.6640625" style="1" customWidth="1"/>
    <col min="6" max="16384" width="8.88671875" style="1"/>
  </cols>
  <sheetData>
    <row r="1" spans="1:8" x14ac:dyDescent="0.3">
      <c r="A1" s="15" t="s">
        <v>92</v>
      </c>
      <c r="B1" s="15"/>
      <c r="C1" s="15"/>
      <c r="D1" s="15"/>
      <c r="E1" s="15"/>
      <c r="F1" s="2"/>
      <c r="G1" s="2"/>
      <c r="H1" s="2"/>
    </row>
    <row r="2" spans="1:8" x14ac:dyDescent="0.3">
      <c r="A2" s="15"/>
      <c r="B2" s="15"/>
      <c r="C2" s="15"/>
      <c r="D2" s="15"/>
      <c r="E2" s="15"/>
      <c r="F2" s="2"/>
      <c r="G2" s="2"/>
      <c r="H2" s="2"/>
    </row>
    <row r="3" spans="1:8" x14ac:dyDescent="0.3">
      <c r="A3" s="15"/>
      <c r="B3" s="15"/>
      <c r="C3" s="15"/>
      <c r="D3" s="15"/>
      <c r="E3" s="15"/>
      <c r="F3" s="2"/>
      <c r="G3" s="2"/>
      <c r="H3" s="2"/>
    </row>
    <row r="4" spans="1:8" x14ac:dyDescent="0.3">
      <c r="A4" s="15"/>
      <c r="B4" s="15"/>
      <c r="C4" s="15"/>
      <c r="D4" s="15"/>
      <c r="E4" s="15"/>
    </row>
    <row r="5" spans="1:8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</row>
    <row r="6" spans="1:8" ht="21" x14ac:dyDescent="0.3">
      <c r="A6" s="3" t="s">
        <v>5</v>
      </c>
      <c r="B6" s="3" t="s">
        <v>6</v>
      </c>
      <c r="C6" s="10">
        <v>2.13</v>
      </c>
      <c r="D6" s="3" t="s">
        <v>7</v>
      </c>
      <c r="E6" s="3" t="s">
        <v>8</v>
      </c>
    </row>
    <row r="7" spans="1:8" x14ac:dyDescent="0.3">
      <c r="A7" s="3" t="s">
        <v>9</v>
      </c>
      <c r="B7" s="3" t="s">
        <v>10</v>
      </c>
      <c r="C7" s="4">
        <v>5.84</v>
      </c>
      <c r="D7" s="3" t="s">
        <v>7</v>
      </c>
      <c r="E7" s="3" t="s">
        <v>11</v>
      </c>
    </row>
    <row r="8" spans="1:8" ht="31.2" x14ac:dyDescent="0.3">
      <c r="A8" s="3" t="s">
        <v>12</v>
      </c>
      <c r="B8" s="3" t="s">
        <v>13</v>
      </c>
      <c r="C8" s="4">
        <v>0</v>
      </c>
      <c r="D8" s="3" t="s">
        <v>7</v>
      </c>
      <c r="E8" s="3" t="s">
        <v>14</v>
      </c>
    </row>
    <row r="9" spans="1:8" ht="23.4" x14ac:dyDescent="0.3">
      <c r="A9" s="3" t="s">
        <v>15</v>
      </c>
      <c r="B9" s="3" t="s">
        <v>16</v>
      </c>
      <c r="C9" s="11">
        <v>2.2999999999999998</v>
      </c>
      <c r="D9" s="3" t="s">
        <v>7</v>
      </c>
      <c r="E9" s="3" t="s">
        <v>17</v>
      </c>
    </row>
    <row r="10" spans="1:8" x14ac:dyDescent="0.3">
      <c r="A10" s="3" t="s">
        <v>18</v>
      </c>
      <c r="B10" s="3" t="s">
        <v>19</v>
      </c>
      <c r="C10" s="4">
        <v>10</v>
      </c>
      <c r="D10" s="3" t="s">
        <v>7</v>
      </c>
      <c r="E10" s="3" t="s">
        <v>20</v>
      </c>
    </row>
    <row r="11" spans="1:8" x14ac:dyDescent="0.3">
      <c r="A11" s="3" t="s">
        <v>21</v>
      </c>
      <c r="B11" s="3" t="s">
        <v>22</v>
      </c>
      <c r="C11" s="4">
        <v>2760</v>
      </c>
      <c r="D11" s="3" t="s">
        <v>23</v>
      </c>
      <c r="E11" s="3" t="s">
        <v>24</v>
      </c>
    </row>
    <row r="12" spans="1:8" x14ac:dyDescent="0.3">
      <c r="A12" s="3" t="s">
        <v>25</v>
      </c>
      <c r="B12" s="3" t="s">
        <v>26</v>
      </c>
      <c r="C12" s="4">
        <v>190000</v>
      </c>
      <c r="D12" s="3" t="s">
        <v>23</v>
      </c>
      <c r="E12" s="3" t="s">
        <v>27</v>
      </c>
    </row>
    <row r="13" spans="1:8" x14ac:dyDescent="0.3">
      <c r="A13" s="3" t="s">
        <v>28</v>
      </c>
      <c r="B13" s="3" t="s">
        <v>29</v>
      </c>
      <c r="C13" s="4">
        <v>0.4</v>
      </c>
      <c r="D13" s="3" t="s">
        <v>30</v>
      </c>
      <c r="E13" s="3" t="s">
        <v>31</v>
      </c>
    </row>
    <row r="14" spans="1:8" x14ac:dyDescent="0.3">
      <c r="A14" s="3" t="s">
        <v>32</v>
      </c>
      <c r="B14" s="3" t="s">
        <v>33</v>
      </c>
      <c r="C14" s="4">
        <v>0.35</v>
      </c>
      <c r="D14" s="3" t="s">
        <v>30</v>
      </c>
      <c r="E14" s="3" t="s">
        <v>34</v>
      </c>
    </row>
    <row r="15" spans="1:8" x14ac:dyDescent="0.3">
      <c r="A15" s="3" t="s">
        <v>35</v>
      </c>
      <c r="B15" s="5" t="s">
        <v>36</v>
      </c>
      <c r="C15" s="4">
        <v>0.3</v>
      </c>
      <c r="D15" s="3" t="s">
        <v>30</v>
      </c>
      <c r="E15" s="3" t="s">
        <v>37</v>
      </c>
    </row>
    <row r="16" spans="1:8" x14ac:dyDescent="0.3">
      <c r="A16" s="3" t="s">
        <v>38</v>
      </c>
      <c r="B16" s="5" t="s">
        <v>39</v>
      </c>
      <c r="C16" s="4">
        <v>0.1</v>
      </c>
      <c r="D16" s="3" t="s">
        <v>30</v>
      </c>
      <c r="E16" s="3" t="s">
        <v>86</v>
      </c>
    </row>
    <row r="17" spans="1:5" x14ac:dyDescent="0.3">
      <c r="A17" s="3" t="s">
        <v>40</v>
      </c>
      <c r="B17" s="5" t="s">
        <v>41</v>
      </c>
      <c r="C17" s="4">
        <f>MIN(C15,C16)</f>
        <v>0.1</v>
      </c>
      <c r="D17" s="3" t="s">
        <v>30</v>
      </c>
      <c r="E17" s="3" t="s">
        <v>42</v>
      </c>
    </row>
    <row r="18" spans="1:5" x14ac:dyDescent="0.3">
      <c r="A18" s="3" t="s">
        <v>43</v>
      </c>
      <c r="B18" s="3" t="s">
        <v>44</v>
      </c>
      <c r="C18" s="6">
        <f>(C9-C6)/2</f>
        <v>8.4999999999999964E-2</v>
      </c>
      <c r="D18" s="3" t="s">
        <v>7</v>
      </c>
      <c r="E18" s="3" t="s">
        <v>45</v>
      </c>
    </row>
    <row r="19" spans="1:5" x14ac:dyDescent="0.3">
      <c r="A19" s="3" t="s">
        <v>46</v>
      </c>
      <c r="B19" s="3" t="s">
        <v>47</v>
      </c>
      <c r="C19" s="6">
        <f>(C9/C11)*((((C7)^2+(C9)^2)/((C7)^2-(C9)^2)+C13))</f>
        <v>1.4726351929741761E-3</v>
      </c>
      <c r="D19" s="5" t="s">
        <v>30</v>
      </c>
      <c r="E19" s="3" t="s">
        <v>48</v>
      </c>
    </row>
    <row r="20" spans="1:5" x14ac:dyDescent="0.3">
      <c r="A20" s="3" t="s">
        <v>49</v>
      </c>
      <c r="B20" s="3" t="s">
        <v>47</v>
      </c>
      <c r="C20" s="6">
        <f>(C9/C12)*((((C7)^2+(C8)^2)/((C7)^2-(C8)^2)-C14))</f>
        <v>7.8684210526315779E-6</v>
      </c>
      <c r="D20" s="5" t="s">
        <v>30</v>
      </c>
      <c r="E20" s="3" t="s">
        <v>48</v>
      </c>
    </row>
    <row r="21" spans="1:5" x14ac:dyDescent="0.3">
      <c r="A21" s="3" t="s">
        <v>50</v>
      </c>
      <c r="B21" s="3" t="s">
        <v>47</v>
      </c>
      <c r="C21" s="6">
        <f>SUM(C19:C20)</f>
        <v>1.4805036140268077E-3</v>
      </c>
      <c r="D21" s="5" t="s">
        <v>30</v>
      </c>
      <c r="E21" s="3" t="s">
        <v>48</v>
      </c>
    </row>
    <row r="22" spans="1:5" x14ac:dyDescent="0.3">
      <c r="A22" s="7" t="s">
        <v>76</v>
      </c>
      <c r="B22" s="7" t="s">
        <v>77</v>
      </c>
      <c r="C22" s="8">
        <v>0.5</v>
      </c>
      <c r="D22" s="7" t="s">
        <v>78</v>
      </c>
      <c r="E22" s="3" t="s">
        <v>88</v>
      </c>
    </row>
    <row r="23" spans="1:5" ht="31.2" x14ac:dyDescent="0.3">
      <c r="A23" s="7" t="s">
        <v>79</v>
      </c>
      <c r="B23" s="7" t="s">
        <v>85</v>
      </c>
      <c r="C23" s="9">
        <f>C10*TAN(C22*PI()/180)</f>
        <v>8.7268677907587897E-2</v>
      </c>
      <c r="D23" s="7" t="s">
        <v>7</v>
      </c>
      <c r="E23" s="3" t="s">
        <v>89</v>
      </c>
    </row>
    <row r="24" spans="1:5" x14ac:dyDescent="0.3">
      <c r="A24" s="7" t="s">
        <v>80</v>
      </c>
      <c r="B24" s="7" t="s">
        <v>81</v>
      </c>
      <c r="C24" s="9">
        <f>((C18*C10)-(0.5*C23*C10))/(C10*C18)</f>
        <v>0.48665483583771801</v>
      </c>
      <c r="D24" s="7" t="s">
        <v>30</v>
      </c>
      <c r="E24" s="3" t="s">
        <v>91</v>
      </c>
    </row>
    <row r="25" spans="1:5" x14ac:dyDescent="0.3">
      <c r="A25" s="7" t="s">
        <v>82</v>
      </c>
      <c r="B25" s="7" t="s">
        <v>81</v>
      </c>
      <c r="C25" s="9">
        <f>(0.5*(C18*C10/C23)*C18)/(C18*C10)</f>
        <v>0.48700176304956561</v>
      </c>
      <c r="D25" s="7" t="s">
        <v>30</v>
      </c>
      <c r="E25" s="3" t="s">
        <v>91</v>
      </c>
    </row>
    <row r="26" spans="1:5" x14ac:dyDescent="0.3">
      <c r="A26" s="7" t="s">
        <v>83</v>
      </c>
      <c r="B26" s="7" t="s">
        <v>84</v>
      </c>
      <c r="C26" s="9">
        <f>IF(C23&gt;C18,C25,C24)</f>
        <v>0.48700176304956561</v>
      </c>
      <c r="D26" s="7" t="s">
        <v>30</v>
      </c>
      <c r="E26" s="3" t="s">
        <v>90</v>
      </c>
    </row>
    <row r="27" spans="1:5" x14ac:dyDescent="0.3">
      <c r="A27" s="3" t="s">
        <v>51</v>
      </c>
      <c r="B27" s="3" t="s">
        <v>52</v>
      </c>
      <c r="C27" s="6">
        <f>(C18/C21)*C26</f>
        <v>27.960181567286273</v>
      </c>
      <c r="D27" s="3" t="s">
        <v>23</v>
      </c>
      <c r="E27" s="3" t="s">
        <v>53</v>
      </c>
    </row>
    <row r="28" spans="1:5" ht="25.8" x14ac:dyDescent="0.3">
      <c r="A28" s="3" t="s">
        <v>54</v>
      </c>
      <c r="B28" s="3" t="s">
        <v>55</v>
      </c>
      <c r="C28" s="14">
        <f>C27*PI()*C9*C10*C17/9.81</f>
        <v>20.594378421110456</v>
      </c>
      <c r="D28" s="3" t="s">
        <v>56</v>
      </c>
      <c r="E28" s="3" t="s">
        <v>57</v>
      </c>
    </row>
    <row r="29" spans="1:5" ht="23.4" x14ac:dyDescent="0.3">
      <c r="A29" s="3" t="s">
        <v>58</v>
      </c>
      <c r="B29" s="3" t="s">
        <v>59</v>
      </c>
      <c r="C29" s="13">
        <f>C17*C27*PI()*((C9^2)/2)*C10</f>
        <v>232.33548015775762</v>
      </c>
      <c r="D29" s="3" t="s">
        <v>60</v>
      </c>
      <c r="E29" s="3" t="s">
        <v>61</v>
      </c>
    </row>
    <row r="30" spans="1:5" ht="31.2" x14ac:dyDescent="0.3">
      <c r="A30" s="3" t="s">
        <v>62</v>
      </c>
      <c r="B30" s="3" t="s">
        <v>63</v>
      </c>
      <c r="C30" s="4">
        <v>62</v>
      </c>
      <c r="D30" s="3" t="s">
        <v>23</v>
      </c>
      <c r="E30" s="3" t="s">
        <v>87</v>
      </c>
    </row>
    <row r="31" spans="1:5" ht="39" customHeight="1" x14ac:dyDescent="0.3">
      <c r="A31" s="3" t="s">
        <v>64</v>
      </c>
      <c r="B31" s="3" t="s">
        <v>65</v>
      </c>
      <c r="C31" s="6">
        <f>C30/C27</f>
        <v>2.2174391053504707</v>
      </c>
      <c r="D31" s="3" t="s">
        <v>30</v>
      </c>
      <c r="E31" s="3" t="s">
        <v>94</v>
      </c>
    </row>
    <row r="32" spans="1:5" ht="40.5" customHeight="1" x14ac:dyDescent="0.3">
      <c r="A32" s="3" t="s">
        <v>67</v>
      </c>
      <c r="B32" s="3" t="s">
        <v>68</v>
      </c>
      <c r="C32" s="6">
        <f>(C18/((C7-C6)/2)*100)</f>
        <v>4.5822102425875988</v>
      </c>
      <c r="D32" s="3" t="s">
        <v>69</v>
      </c>
      <c r="E32" s="3" t="s">
        <v>70</v>
      </c>
    </row>
    <row r="33" spans="1:5" ht="31.2" x14ac:dyDescent="0.3">
      <c r="A33" s="3" t="s">
        <v>71</v>
      </c>
      <c r="B33" s="3" t="s">
        <v>72</v>
      </c>
      <c r="C33" s="4">
        <v>30</v>
      </c>
      <c r="D33" s="3" t="s">
        <v>69</v>
      </c>
      <c r="E33" s="3" t="s">
        <v>75</v>
      </c>
    </row>
    <row r="34" spans="1:5" ht="56.25" customHeight="1" x14ac:dyDescent="0.3">
      <c r="A34" s="3" t="s">
        <v>73</v>
      </c>
      <c r="B34" s="3" t="s">
        <v>65</v>
      </c>
      <c r="C34" s="6">
        <f>C33/C32</f>
        <v>6.5470588235294152</v>
      </c>
      <c r="D34" s="3" t="s">
        <v>30</v>
      </c>
      <c r="E34" s="3" t="s">
        <v>74</v>
      </c>
    </row>
  </sheetData>
  <mergeCells count="1">
    <mergeCell ref="A1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MAXIMUM INTERFERENCE</vt:lpstr>
      <vt:lpstr>UPDATED MINIMUM INTERFERENCE</vt:lpstr>
      <vt:lpstr>MAXIMUM INTERFERENCE</vt:lpstr>
      <vt:lpstr>NOMINAL INTERFERENCE</vt:lpstr>
      <vt:lpstr>MINIMUM INTERFERENCE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Ramirez</dc:creator>
  <cp:keywords/>
  <dc:description/>
  <cp:lastModifiedBy>Rafael Ramirez</cp:lastModifiedBy>
  <cp:revision/>
  <dcterms:created xsi:type="dcterms:W3CDTF">2025-05-21T03:35:13Z</dcterms:created>
  <dcterms:modified xsi:type="dcterms:W3CDTF">2026-07-15T08:45:19Z</dcterms:modified>
  <cp:category/>
  <cp:contentStatus/>
</cp:coreProperties>
</file>