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-PH-RAFAEL\Downloads\CONCEPT SELECTION FOR GEARBOX\"/>
    </mc:Choice>
  </mc:AlternateContent>
  <xr:revisionPtr revIDLastSave="0" documentId="13_ncr:1_{CCF5F429-F672-4B8C-8D73-333514ED83D5}" xr6:coauthVersionLast="47" xr6:coauthVersionMax="47" xr10:uidLastSave="{00000000-0000-0000-0000-000000000000}"/>
  <bookViews>
    <workbookView xWindow="-108" yWindow="-108" windowWidth="23256" windowHeight="12456" xr2:uid="{160E2AD3-20A3-464C-89E6-FCCF7A255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9" i="1" l="1"/>
  <c r="N68" i="1"/>
  <c r="N67" i="1"/>
  <c r="N66" i="1"/>
  <c r="N65" i="1"/>
  <c r="N64" i="1"/>
  <c r="N63" i="1"/>
  <c r="N62" i="1"/>
  <c r="N61" i="1"/>
  <c r="N60" i="1"/>
  <c r="N59" i="1"/>
  <c r="N58" i="1"/>
  <c r="N57" i="1"/>
  <c r="N19" i="1"/>
  <c r="N49" i="1"/>
  <c r="N54" i="1"/>
  <c r="N48" i="1"/>
  <c r="N50" i="1"/>
  <c r="N51" i="1"/>
  <c r="N52" i="1"/>
  <c r="N53" i="1"/>
  <c r="N55" i="1"/>
  <c r="N56" i="1"/>
  <c r="N47" i="1"/>
  <c r="N41" i="1"/>
  <c r="N42" i="1"/>
  <c r="N43" i="1"/>
  <c r="N44" i="1"/>
  <c r="N45" i="1"/>
  <c r="N46" i="1"/>
  <c r="N40" i="1"/>
  <c r="N29" i="1"/>
  <c r="N30" i="1"/>
  <c r="N31" i="1"/>
  <c r="N37" i="1"/>
  <c r="N38" i="1"/>
  <c r="N39" i="1"/>
  <c r="N24" i="1"/>
  <c r="N17" i="1"/>
  <c r="N33" i="1" l="1"/>
  <c r="N11" i="1"/>
  <c r="N27" i="1"/>
  <c r="N25" i="1"/>
  <c r="N23" i="1"/>
  <c r="N21" i="1"/>
  <c r="N20" i="1"/>
  <c r="N18" i="1"/>
  <c r="N14" i="1"/>
</calcChain>
</file>

<file path=xl/sharedStrings.xml><?xml version="1.0" encoding="utf-8"?>
<sst xmlns="http://schemas.openxmlformats.org/spreadsheetml/2006/main" count="893" uniqueCount="233">
  <si>
    <t>Failure Mode and Effects Analysis</t>
  </si>
  <si>
    <t>(Design FMEA)</t>
  </si>
  <si>
    <t>Project Name</t>
  </si>
  <si>
    <t> </t>
  </si>
  <si>
    <t>QPL</t>
  </si>
  <si>
    <t>FMEA Version :</t>
  </si>
  <si>
    <t xml:space="preserve">Scope of DFMEA </t>
  </si>
  <si>
    <t>Core Team</t>
  </si>
  <si>
    <t>Last update date</t>
  </si>
  <si>
    <t>Name of System/Module/ Component</t>
  </si>
  <si>
    <t>Manuel Torres, Joseph Cornelia, Carla Montoya, Remon John Abasquez, Roberto Justiniane, Reynald Sabug, Julius Tampos</t>
  </si>
  <si>
    <t>FMEA Date (Orig.) :</t>
  </si>
  <si>
    <t xml:space="preserve">Design Lead </t>
  </si>
  <si>
    <t>Project Phase</t>
  </si>
  <si>
    <t>Start of Production</t>
  </si>
  <si>
    <t>Prepared by:</t>
  </si>
  <si>
    <t>Jake Pia</t>
  </si>
  <si>
    <t xml:space="preserve">Engineer </t>
  </si>
  <si>
    <t>Item no.</t>
  </si>
  <si>
    <r>
      <t>Item / Function</t>
    </r>
    <r>
      <rPr>
        <sz val="9"/>
        <rFont val="Arial"/>
        <family val="2"/>
      </rPr>
      <t xml:space="preserve">
(what the component is supposed to do in the design)</t>
    </r>
  </si>
  <si>
    <r>
      <t>Requirement</t>
    </r>
    <r>
      <rPr>
        <sz val="9"/>
        <rFont val="Arial"/>
        <family val="2"/>
      </rPr>
      <t xml:space="preserve">
(specified performance or design criteria that a component, system must meet to ensure it functions properly)</t>
    </r>
  </si>
  <si>
    <r>
      <t>Potential Failure Mode</t>
    </r>
    <r>
      <rPr>
        <sz val="9"/>
        <rFont val="Arial"/>
        <family val="2"/>
      </rPr>
      <t xml:space="preserve">
(component, system, or product can fail to meet its intended function or requirement)</t>
    </r>
  </si>
  <si>
    <r>
      <t>Potential Effect(s) of Failure</t>
    </r>
    <r>
      <rPr>
        <sz val="9"/>
        <rFont val="Arial"/>
        <family val="2"/>
      </rPr>
      <t xml:space="preserve">
(consequence or outcome that occurs when a failure mode happens in a component, system, or product)</t>
    </r>
  </si>
  <si>
    <t>Severity</t>
  </si>
  <si>
    <t>Classification
Severity 1-3 (Minor)
Severity 4-6 (Moderate)
Severity 7-9 (Major)
Severity 10 (Critical)</t>
  </si>
  <si>
    <r>
      <t>Potential Cause(s) of Failure</t>
    </r>
    <r>
      <rPr>
        <sz val="9"/>
        <rFont val="Arial"/>
        <family val="2"/>
      </rPr>
      <t xml:space="preserve">
(factors that could trigger or lead to a failure mode in a component, system, or product)</t>
    </r>
  </si>
  <si>
    <t>Occurrence</t>
  </si>
  <si>
    <t xml:space="preserve">Current Design </t>
  </si>
  <si>
    <r>
      <t xml:space="preserve">     RPN</t>
    </r>
    <r>
      <rPr>
        <u/>
        <sz val="8"/>
        <rFont val="Arial"/>
        <family val="2"/>
      </rPr>
      <t xml:space="preserve">
Priority
&lt; 80 - Low</t>
    </r>
    <r>
      <rPr>
        <sz val="8"/>
        <rFont val="Arial"/>
        <family val="2"/>
      </rPr>
      <t xml:space="preserve">           (light green)
80-120 - Moderate (light orange)
&gt; 120 - High (Red)</t>
    </r>
  </si>
  <si>
    <t>Recommended Action</t>
  </si>
  <si>
    <t>Responsible</t>
  </si>
  <si>
    <t>Target Completion Date</t>
  </si>
  <si>
    <t>Action Results</t>
  </si>
  <si>
    <r>
      <t>Controls Prevention</t>
    </r>
    <r>
      <rPr>
        <sz val="8"/>
        <rFont val="Arial"/>
        <family val="2"/>
      </rPr>
      <t xml:space="preserve">
(actions, measures, or strategies put in place to prevent potential failures or problems)</t>
    </r>
  </si>
  <si>
    <r>
      <t>Controls Detection</t>
    </r>
    <r>
      <rPr>
        <sz val="8"/>
        <rFont val="Arial"/>
        <family val="2"/>
      </rPr>
      <t xml:space="preserve">
(methods and techniques used to detect a failure or problem)</t>
    </r>
  </si>
  <si>
    <t>Detection</t>
  </si>
  <si>
    <r>
      <t xml:space="preserve">Actions Taken </t>
    </r>
    <r>
      <rPr>
        <sz val="9"/>
        <rFont val="Arial"/>
        <family val="2"/>
      </rPr>
      <t>Completion Date</t>
    </r>
  </si>
  <si>
    <t>RPN</t>
  </si>
  <si>
    <t>Major</t>
  </si>
  <si>
    <t>Moderate</t>
  </si>
  <si>
    <t>Misalignment</t>
  </si>
  <si>
    <t>Visual inspection
Prototype sample
Mock-up build</t>
  </si>
  <si>
    <t>Motor</t>
  </si>
  <si>
    <t>Generate rotational mechanical power from electrical input</t>
  </si>
  <si>
    <t>Sustain continuous operation under mechanical and thermal load</t>
  </si>
  <si>
    <t>Insufficient torque output</t>
  </si>
  <si>
    <t>Motor cannot achieve required input torque</t>
  </si>
  <si>
    <t>Stalling under load</t>
  </si>
  <si>
    <t>Undersized motor selection, Voltage drop / power limitation</t>
  </si>
  <si>
    <t>Motor sizing with torque margin, Load analysis with safety factor ,Electrical supply validation</t>
  </si>
  <si>
    <t>Current monitoring (stall detection via Oscilloscope or similar equipment) , Torque-speed validation testing &amp; Accelerated life test</t>
  </si>
  <si>
    <t>Speed instability / fluctuation</t>
  </si>
  <si>
    <t>Gear vibration and noise</t>
  </si>
  <si>
    <t>Uneven gear mesh loading</t>
  </si>
  <si>
    <t>Increased fatigue in planetary system</t>
  </si>
  <si>
    <t>Poor motor control (PWM ripple, control instability) , Power supply instability</t>
  </si>
  <si>
    <t>Rafael Ramirez</t>
  </si>
  <si>
    <t>DFMEA - Kicker Planetary Gearbox</t>
  </si>
  <si>
    <t>Mechanical Discipline DFMEA of 2-stage planetary gearbox</t>
  </si>
  <si>
    <t>Kicker gearbox</t>
  </si>
  <si>
    <t>PRESS-FITTED PINION GEAR</t>
  </si>
  <si>
    <t>Receive torque from motor shaft</t>
  </si>
  <si>
    <t>Transmit torque to idler gear via rigid interference fit</t>
  </si>
  <si>
    <t>Slippage on shaft</t>
  </si>
  <si>
    <t>Insufficient interference fit, overload</t>
  </si>
  <si>
    <t>Proper interference fit design (CTF callout in 2D drawing)</t>
  </si>
  <si>
    <t xml:space="preserve">Torque retention test, pull-out test (Design level). IQC and FAI report </t>
  </si>
  <si>
    <t>Parts has deformed tooth</t>
  </si>
  <si>
    <t>Part has sink marks/warpage</t>
  </si>
  <si>
    <t>Immediate drivetrain failure</t>
  </si>
  <si>
    <t>Excess press force, brittle material</t>
  </si>
  <si>
    <t>Controlled assembly force, chamfers (CTF callout in 2D drawing)</t>
  </si>
  <si>
    <t>Visual inspection, press force monitoring and calculation, mock-up build and prototype sample</t>
  </si>
  <si>
    <t>Proper gear meshing</t>
  </si>
  <si>
    <t>Proper gear sliding on surface</t>
  </si>
  <si>
    <t>Excess noise, improper meshing and shorter life</t>
  </si>
  <si>
    <t>Injection moulding issues, improper parameter set &amp; tooling issues</t>
  </si>
  <si>
    <t xml:space="preserve">2D drawing to specify critical to function features, measurement over pin dimensions </t>
  </si>
  <si>
    <t>IDLER GEAR</t>
  </si>
  <si>
    <t>Transfer torque from pinion to Stage 1 sun gear</t>
  </si>
  <si>
    <t>Maintain gear mesh continuity and direction transfer</t>
  </si>
  <si>
    <t>Reversed direction of rotation</t>
  </si>
  <si>
    <t>Kicker will go forward instead of back ward and vise versa</t>
  </si>
  <si>
    <t>Rotation and direction control not updated as per new gearbox</t>
  </si>
  <si>
    <t>Design/concept review with stakeholders (FW, QA &amp; ME)</t>
  </si>
  <si>
    <t>SUN GEAR – STAGE 1</t>
  </si>
  <si>
    <t>Receive torque from idler</t>
  </si>
  <si>
    <t>Transmit torque to planet gears</t>
  </si>
  <si>
    <t>Initiate planetary reduction stage</t>
  </si>
  <si>
    <t>Wobbly rotation/inefficient transmission</t>
  </si>
  <si>
    <t>gear reduction too much/too high</t>
  </si>
  <si>
    <t>Shaft hole size and concentricity off-spec</t>
  </si>
  <si>
    <t>CAD Design review
2D Drawing spefication
Design guidelines / Best Practice
Tolerance analysis
Torque calculation
BOM review</t>
  </si>
  <si>
    <t>Visual inspection
Prototype sample
Mock-up build
Build review with NPI team</t>
  </si>
  <si>
    <t>FW ratio requires update to match mm/radian requirements during operation</t>
  </si>
  <si>
    <t>Current gear ratio cannot be fully achieved with 2-stage planetary</t>
  </si>
  <si>
    <t>PLANET CARRIER – STAGE 1</t>
  </si>
  <si>
    <t>Collect torque from planet gears</t>
  </si>
  <si>
    <t>Convert planetary motion into output rotation</t>
  </si>
  <si>
    <t>Transmit torque to Stage 2 sun gear</t>
  </si>
  <si>
    <t>Maintain coaxial alignment between stages</t>
  </si>
  <si>
    <t>SUN GEAR – STAGE 2</t>
  </si>
  <si>
    <t>Receive torque from Stage 1 carrier</t>
  </si>
  <si>
    <t>Transmit torque to Stage 2 planets</t>
  </si>
  <si>
    <t>Act as intermediate input stage</t>
  </si>
  <si>
    <t>PLANET GEARS – STAGE 2</t>
  </si>
  <si>
    <t>Reduce speed further</t>
  </si>
  <si>
    <t>Transfer torque to final carrier</t>
  </si>
  <si>
    <t>PLANET CARRIER – STAGE 2 (OUTPUT)</t>
  </si>
  <si>
    <t>SHAFT / OUTPUT SYSTEM</t>
  </si>
  <si>
    <t>Dislodge/poort fit between shaft and pinion gear</t>
  </si>
  <si>
    <t>Center distance between planets not controlled</t>
  </si>
  <si>
    <t>Center distance between planet gears and ring gear not controlled</t>
  </si>
  <si>
    <t>Shaft hole size on planets and shaft size on carrier not controlled</t>
  </si>
  <si>
    <t>Visual inspection
Prototype sample
Mock-up build with Load testing (Accelerated life test)</t>
  </si>
  <si>
    <t>Hole concentricity and shaft perpendicularity  on planets gears &amp; planet carrier not controlled</t>
  </si>
  <si>
    <t>Part quality issue, tooth deformed and warpage</t>
  </si>
  <si>
    <t>gear tooth breakage</t>
  </si>
  <si>
    <t>gear tooth strength insufficient</t>
  </si>
  <si>
    <t>Gear tooth breakage</t>
  </si>
  <si>
    <t>Carrier shaft insufficient strength</t>
  </si>
  <si>
    <t>Shaft breakage</t>
  </si>
  <si>
    <t>Collect final torque output</t>
  </si>
  <si>
    <t>Deliver power to shaft/pulley system</t>
  </si>
  <si>
    <t>Maintain output alignment</t>
  </si>
  <si>
    <t>Transmit torque to external load</t>
  </si>
  <si>
    <t>Maintain rotational alignment</t>
  </si>
  <si>
    <t>Torsional failure</t>
  </si>
  <si>
    <t>Tooth skip/ improper gear tooth meshing</t>
  </si>
  <si>
    <t>Insufficient strength to handle pressfit installation</t>
  </si>
  <si>
    <t>Lewis bending equation for gear tooth not properly comsidered</t>
  </si>
  <si>
    <t>Force analysis &amp; Design calculation with minimum safety factor of 2 under static and dynamic conditions</t>
  </si>
  <si>
    <t>Shaft strength not properly calculated and dynamic conditions not considered</t>
  </si>
  <si>
    <t>Shaft torsion stress not considered in static and dynamic conditions</t>
  </si>
  <si>
    <t>Shaft staightness not controlled, concentricity not controlled &amp; shaft D-cut not controlled</t>
  </si>
  <si>
    <t>GEARBOX</t>
  </si>
  <si>
    <t>RING GEARS</t>
  </si>
  <si>
    <t>Provide reaction torque for planetary gear operation</t>
  </si>
  <si>
    <t>Constrain planetary gear motion</t>
  </si>
  <si>
    <t>Support and locate all gearbox components</t>
  </si>
  <si>
    <t>Maintain gear and shaft alignment</t>
  </si>
  <si>
    <t>Support bearings and reaction loads</t>
  </si>
  <si>
    <t>Provide mounting interface to the product</t>
  </si>
  <si>
    <t>Retain brass inserts for fastening</t>
  </si>
  <si>
    <t>mating parts difficult to assemble</t>
  </si>
  <si>
    <t>Gearbox collapse underload</t>
  </si>
  <si>
    <t>Screw boss insufficient strength</t>
  </si>
  <si>
    <t>Brass inserts not coaxial with the boss hole</t>
  </si>
  <si>
    <t>Ring gear wall strength insufficient</t>
  </si>
  <si>
    <t>Ring gear collapses underload</t>
  </si>
  <si>
    <t>Parts difficult to fit</t>
  </si>
  <si>
    <t>Gearbox collapse wall insufficient strength</t>
  </si>
  <si>
    <t>Screw boss breaks during tightening</t>
  </si>
  <si>
    <t>Missing Brass inserts</t>
  </si>
  <si>
    <t>Ring gear required wall thickness not considered in static and dynamic conditions</t>
  </si>
  <si>
    <t>Inner hole and outer hole concentricity  on ring gear not controlled</t>
  </si>
  <si>
    <t>Center distances, hole sizes and flatness not properly controlled</t>
  </si>
  <si>
    <t>Shaft holes and center distances not properly controlled</t>
  </si>
  <si>
    <t>Gearbox required wall thickness not considered under dynamic and static loads</t>
  </si>
  <si>
    <t>Screw boss wall thickness not as per standard for m3 screw</t>
  </si>
  <si>
    <t>Brass location not relative to screw boss hole location and not properly controlled</t>
  </si>
  <si>
    <t>2D drawing to specify critical to function features</t>
  </si>
  <si>
    <t xml:space="preserve">2D drawing to specify critical to function features </t>
  </si>
  <si>
    <t>Ring gear installed wrongly</t>
  </si>
  <si>
    <t>Gear alignment and assembly fail</t>
  </si>
  <si>
    <t>Design does not have design poka yoke</t>
  </si>
  <si>
    <t>Pinion gear installed wrongly</t>
  </si>
  <si>
    <t>Sun gear installed wrongly</t>
  </si>
  <si>
    <t>COMPONENT REQUIREMENTS:</t>
  </si>
  <si>
    <t>ASSEMBLY REQUIREMENTS</t>
  </si>
  <si>
    <t>Transmit input power from motor to output load</t>
  </si>
  <si>
    <t>Achieve specified gear reduction ratio</t>
  </si>
  <si>
    <t>Maintain gear alignment throughout operation</t>
  </si>
  <si>
    <t>Maintain acceptable noise and vibration levels</t>
  </si>
  <si>
    <t>Dissipate heat generated during operation</t>
  </si>
  <si>
    <t>Loss of torque transmission</t>
  </si>
  <si>
    <t>Complete loss of drivetrain functionality</t>
  </si>
  <si>
    <t>Gear tooth fracture,Carrier failure, Shaft failure,Pinion slip</t>
  </si>
  <si>
    <t>Incorrect output speed ratio</t>
  </si>
  <si>
    <t>Output speed outside specification</t>
  </si>
  <si>
    <t>Incorrect gear tooth count,Gear slip,Assembly stack-up error</t>
  </si>
  <si>
    <t>Gear train misalignment</t>
  </si>
  <si>
    <t>Housing deformation,Carrier deflection,Assembly tolerance stack-up</t>
  </si>
  <si>
    <t>Gear strength calculations, Torque safety factors , Material selection and FEA validation</t>
  </si>
  <si>
    <t xml:space="preserve"> Torque-speed validation testing &amp; Accelerated life test</t>
  </si>
  <si>
    <t>Excessive operating temperature</t>
  </si>
  <si>
    <t>Lubricant degradation</t>
  </si>
  <si>
    <t>Inadequate lubrication</t>
  </si>
  <si>
    <t>Lubrication selection &amp; Thermal analysis</t>
  </si>
  <si>
    <t>Excessive noise and vibration</t>
  </si>
  <si>
    <t>Poor user experience</t>
  </si>
  <si>
    <t>Gear eccentricity, Misalignment , Excessive backlash</t>
  </si>
  <si>
    <t>Gear quality specification , Concentricity control , Alignment features</t>
  </si>
  <si>
    <t xml:space="preserve"> Torque-speed validation testing &amp; Accelerated life test &amp; noise testing validation</t>
  </si>
  <si>
    <t>Design verification , Gear ratio calculations</t>
  </si>
  <si>
    <t>Datum scheme definition , Tolerance stack-up analysis</t>
  </si>
  <si>
    <t>GEARBOX ASSEMBLY INTEGRATION TO MACHINE</t>
  </si>
  <si>
    <t>GEARBOX ASSEMBLY (SUB-ASSEMBLY LEVEL)</t>
  </si>
  <si>
    <t>Maintain adequate clearance between gearbox assembly and PSU bracket holder
Prevent contact during assembly and operation</t>
  </si>
  <si>
    <t>Assembly cannot be completed , Stress induced into gearbox housing or PSU bracket &amp; Damage to gearbox housing or bracket</t>
  </si>
  <si>
    <t>Maintain clearance between gearbox assembly and plate bridge
Allow unrestricted installation and operation</t>
  </si>
  <si>
    <t xml:space="preserve"> Interference with plate bridge</t>
  </si>
  <si>
    <t>Interference with PSU bracket holder</t>
  </si>
  <si>
    <t>Assembly difficulty or impossible assembly
Distortion of gearbox position
Misalignment of drivetrain</t>
  </si>
  <si>
    <t>Maintain required clearance and alignment relative to press motor
Prevent mechanical and thermal interaction</t>
  </si>
  <si>
    <t>Physical interference with press motor</t>
  </si>
  <si>
    <t>Assembly interference
Damage to kicker motor &amp; thermal stress increase on kicker motor</t>
  </si>
  <si>
    <t>INTEGRATION  REQUIREMENTS</t>
  </si>
  <si>
    <t>Maintain clearance between gearbox assembly and kicker tensioner plate
Allow full tensioner adjustment range</t>
  </si>
  <si>
    <t>Interference with tensioner movement</t>
  </si>
  <si>
    <t>Restricted tensioner adjustment
Inability to achieve correct belt tension</t>
  </si>
  <si>
    <t>Securely clamp gearbox assembly to chassis</t>
  </si>
  <si>
    <t>Gearbox movement relative to chassis
Misalignment of pinion, idler, pulley, or belt system</t>
  </si>
  <si>
    <t>Insufficient design clearance
Tolerance stack-up</t>
  </si>
  <si>
    <t xml:space="preserve">CAD Design review ,2D Drawing spefication ,Tolerance analysis
</t>
  </si>
  <si>
    <t>CAD Design review ,2D Drawing spefication ,Tolerance analysis</t>
  </si>
  <si>
    <t>Loss of clamping force (Gearbox breakage)</t>
  </si>
  <si>
    <t>Loss of clamping force (Gearbox slip)</t>
  </si>
  <si>
    <t>Clamping force relative to chassis material, screw size and gearbox friction not considered</t>
  </si>
  <si>
    <t>Gearbox boss strength not considered relative to screw tightening torque</t>
  </si>
  <si>
    <t>Proper torque specification, Brass Insert retention validation</t>
  </si>
  <si>
    <t>Accelerated life test, drop and vibration test</t>
  </si>
  <si>
    <t>Proper gearbox material selection, FEA validation, torque and gearbox DOE</t>
  </si>
  <si>
    <t>V 1.0</t>
  </si>
  <si>
    <t>To be connected to slave boad via kicker motor loom</t>
  </si>
  <si>
    <t>Kicker motor loom too short to connect slave board and kicker motor connector</t>
  </si>
  <si>
    <t>Kicker drive will not run</t>
  </si>
  <si>
    <t>kicker motor loom insufficient length</t>
  </si>
  <si>
    <t>Proper loom length calcultion</t>
  </si>
  <si>
    <t>Great user experience during operation</t>
  </si>
  <si>
    <t>60 dB MRD/PRD requirements</t>
  </si>
  <si>
    <t>Bad user experience/irritating noise</t>
  </si>
  <si>
    <t>Too much moving parts, gearbox amplifies the sound and too much backlash and chatter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</si>
</sst>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9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000000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7" fillId="3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textRotation="90" wrapText="1"/>
    </xf>
    <xf numFmtId="0" fontId="8" fillId="5" borderId="4" xfId="0" applyFont="1" applyFill="1" applyBorder="1" applyAlignment="1">
      <alignment horizontal="center" vertical="center" textRotation="90" wrapText="1"/>
    </xf>
    <xf numFmtId="0" fontId="8" fillId="5" borderId="5" xfId="0" applyFont="1" applyFill="1" applyBorder="1" applyAlignment="1">
      <alignment horizontal="center" vertical="center" textRotation="90" wrapText="1"/>
    </xf>
    <xf numFmtId="0" fontId="12" fillId="7" borderId="15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4" fillId="0" borderId="14" xfId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textRotation="90" wrapText="1"/>
    </xf>
    <xf numFmtId="0" fontId="9" fillId="6" borderId="13" xfId="0" applyFont="1" applyFill="1" applyBorder="1" applyAlignment="1">
      <alignment horizontal="center" vertical="center" textRotation="90" wrapText="1"/>
    </xf>
    <xf numFmtId="0" fontId="8" fillId="5" borderId="11" xfId="0" applyFont="1" applyFill="1" applyBorder="1" applyAlignment="1">
      <alignment horizontal="center" vertical="center" textRotation="90" wrapText="1"/>
    </xf>
    <xf numFmtId="0" fontId="8" fillId="5" borderId="13" xfId="0" applyFont="1" applyFill="1" applyBorder="1" applyAlignment="1">
      <alignment horizontal="center" vertical="center" textRotation="90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25" xfId="1" applyFont="1" applyFill="1" applyBorder="1" applyAlignment="1">
      <alignment horizontal="center" vertical="center" wrapText="1"/>
    </xf>
    <xf numFmtId="0" fontId="14" fillId="0" borderId="16" xfId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D664-0E04-465C-A0C3-516FF9B0F3E4}">
  <dimension ref="A1:V69"/>
  <sheetViews>
    <sheetView tabSelected="1" topLeftCell="E1" zoomScale="85" zoomScaleNormal="85" workbookViewId="0">
      <selection sqref="A1:V1"/>
    </sheetView>
  </sheetViews>
  <sheetFormatPr defaultRowHeight="14.4" x14ac:dyDescent="0.3"/>
  <cols>
    <col min="1" max="1" width="8.88671875" style="27"/>
    <col min="2" max="2" width="23.6640625" style="27" customWidth="1"/>
    <col min="3" max="3" width="40.33203125" style="27" customWidth="1"/>
    <col min="4" max="4" width="36.21875" style="27" bestFit="1" customWidth="1"/>
    <col min="5" max="5" width="36.44140625" style="27" bestFit="1" customWidth="1"/>
    <col min="6" max="6" width="44.6640625" style="27" bestFit="1" customWidth="1"/>
    <col min="7" max="8" width="8.88671875" style="27"/>
    <col min="9" max="9" width="40.77734375" style="27" bestFit="1" customWidth="1"/>
    <col min="10" max="10" width="8.88671875" style="27"/>
    <col min="11" max="11" width="29.109375" style="27" bestFit="1" customWidth="1"/>
    <col min="12" max="12" width="33.88671875" style="27" bestFit="1" customWidth="1"/>
    <col min="13" max="16384" width="8.88671875" style="27"/>
  </cols>
  <sheetData>
    <row r="1" spans="1:22" ht="21" x14ac:dyDescent="0.3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</row>
    <row r="2" spans="1:22" ht="15.6" x14ac:dyDescent="0.3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 x14ac:dyDescent="0.3">
      <c r="A3" s="73" t="s">
        <v>2</v>
      </c>
      <c r="B3" s="74"/>
      <c r="C3" s="18" t="s">
        <v>3</v>
      </c>
      <c r="D3" s="71" t="s">
        <v>57</v>
      </c>
      <c r="E3" s="71"/>
      <c r="F3" s="72"/>
      <c r="G3" s="75" t="s">
        <v>4</v>
      </c>
      <c r="H3" s="74"/>
      <c r="I3" s="81" t="s">
        <v>3</v>
      </c>
      <c r="J3" s="81"/>
      <c r="K3" s="81"/>
      <c r="L3" s="81"/>
      <c r="M3" s="81"/>
      <c r="N3" s="82"/>
      <c r="O3" s="75" t="s">
        <v>5</v>
      </c>
      <c r="P3" s="74"/>
      <c r="Q3" s="71" t="s">
        <v>223</v>
      </c>
      <c r="R3" s="71"/>
      <c r="S3" s="72"/>
      <c r="T3" s="19" t="s">
        <v>3</v>
      </c>
      <c r="U3" s="19" t="s">
        <v>3</v>
      </c>
      <c r="V3" s="20" t="s">
        <v>3</v>
      </c>
    </row>
    <row r="4" spans="1:22" x14ac:dyDescent="0.3">
      <c r="A4" s="73" t="s">
        <v>6</v>
      </c>
      <c r="B4" s="74"/>
      <c r="C4" s="18" t="s">
        <v>3</v>
      </c>
      <c r="D4" s="71" t="s">
        <v>58</v>
      </c>
      <c r="E4" s="71"/>
      <c r="F4" s="72"/>
      <c r="G4" s="86" t="s">
        <v>7</v>
      </c>
      <c r="H4" s="87"/>
      <c r="I4" s="71" t="s">
        <v>3</v>
      </c>
      <c r="J4" s="71"/>
      <c r="K4" s="71"/>
      <c r="L4" s="71"/>
      <c r="M4" s="71"/>
      <c r="N4" s="72"/>
      <c r="O4" s="75" t="s">
        <v>8</v>
      </c>
      <c r="P4" s="74"/>
      <c r="Q4" s="70"/>
      <c r="R4" s="71"/>
      <c r="S4" s="72"/>
      <c r="T4" s="19" t="s">
        <v>3</v>
      </c>
      <c r="U4" s="19" t="s">
        <v>3</v>
      </c>
      <c r="V4" s="20" t="s">
        <v>3</v>
      </c>
    </row>
    <row r="5" spans="1:22" x14ac:dyDescent="0.3">
      <c r="A5" s="73" t="s">
        <v>9</v>
      </c>
      <c r="B5" s="74"/>
      <c r="C5" s="18" t="s">
        <v>3</v>
      </c>
      <c r="D5" s="71" t="s">
        <v>59</v>
      </c>
      <c r="E5" s="71"/>
      <c r="F5" s="72"/>
      <c r="G5" s="88"/>
      <c r="H5" s="89"/>
      <c r="I5" s="71" t="s">
        <v>10</v>
      </c>
      <c r="J5" s="71"/>
      <c r="K5" s="71"/>
      <c r="L5" s="71"/>
      <c r="M5" s="71"/>
      <c r="N5" s="72"/>
      <c r="O5" s="75" t="s">
        <v>11</v>
      </c>
      <c r="P5" s="74"/>
      <c r="Q5" s="70"/>
      <c r="R5" s="71"/>
      <c r="S5" s="72"/>
      <c r="T5" s="19" t="s">
        <v>3</v>
      </c>
      <c r="U5" s="19" t="s">
        <v>3</v>
      </c>
      <c r="V5" s="20" t="s">
        <v>3</v>
      </c>
    </row>
    <row r="6" spans="1:22" x14ac:dyDescent="0.3">
      <c r="A6" s="73" t="s">
        <v>12</v>
      </c>
      <c r="B6" s="74"/>
      <c r="C6" s="18" t="s">
        <v>3</v>
      </c>
      <c r="D6" s="71" t="s">
        <v>16</v>
      </c>
      <c r="E6" s="71"/>
      <c r="F6" s="72"/>
      <c r="G6" s="75" t="s">
        <v>13</v>
      </c>
      <c r="H6" s="74"/>
      <c r="I6" s="71" t="s">
        <v>14</v>
      </c>
      <c r="J6" s="71"/>
      <c r="K6" s="71"/>
      <c r="L6" s="71"/>
      <c r="M6" s="71"/>
      <c r="N6" s="72"/>
      <c r="O6" s="75" t="s">
        <v>15</v>
      </c>
      <c r="P6" s="74"/>
      <c r="Q6" s="71"/>
      <c r="R6" s="71"/>
      <c r="S6" s="72"/>
      <c r="T6" s="19" t="s">
        <v>3</v>
      </c>
      <c r="U6" s="19" t="s">
        <v>3</v>
      </c>
      <c r="V6" s="20" t="s">
        <v>3</v>
      </c>
    </row>
    <row r="7" spans="1:22" x14ac:dyDescent="0.3">
      <c r="A7" s="73" t="s">
        <v>17</v>
      </c>
      <c r="B7" s="74"/>
      <c r="C7" s="18" t="s">
        <v>3</v>
      </c>
      <c r="D7" s="71" t="s">
        <v>56</v>
      </c>
      <c r="E7" s="71"/>
      <c r="F7" s="72"/>
      <c r="G7" s="75" t="s">
        <v>3</v>
      </c>
      <c r="H7" s="74"/>
      <c r="I7" s="71" t="s">
        <v>3</v>
      </c>
      <c r="J7" s="71"/>
      <c r="K7" s="71"/>
      <c r="L7" s="71"/>
      <c r="M7" s="71"/>
      <c r="N7" s="72"/>
      <c r="O7" s="75" t="s">
        <v>3</v>
      </c>
      <c r="P7" s="74"/>
      <c r="Q7" s="71"/>
      <c r="R7" s="71"/>
      <c r="S7" s="72"/>
      <c r="T7" s="19" t="s">
        <v>3</v>
      </c>
      <c r="U7" s="19" t="s">
        <v>3</v>
      </c>
      <c r="V7" s="20" t="s">
        <v>3</v>
      </c>
    </row>
    <row r="8" spans="1:22" x14ac:dyDescent="0.3">
      <c r="A8" s="24" t="s">
        <v>3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25" t="s">
        <v>3</v>
      </c>
    </row>
    <row r="9" spans="1:22" x14ac:dyDescent="0.3">
      <c r="A9" s="61" t="s">
        <v>18</v>
      </c>
      <c r="B9" s="63" t="s">
        <v>19</v>
      </c>
      <c r="C9" s="64"/>
      <c r="D9" s="50" t="s">
        <v>20</v>
      </c>
      <c r="E9" s="50" t="s">
        <v>21</v>
      </c>
      <c r="F9" s="50" t="s">
        <v>22</v>
      </c>
      <c r="G9" s="56" t="s">
        <v>23</v>
      </c>
      <c r="H9" s="54" t="s">
        <v>24</v>
      </c>
      <c r="I9" s="50" t="s">
        <v>25</v>
      </c>
      <c r="J9" s="56" t="s">
        <v>26</v>
      </c>
      <c r="K9" s="52" t="s">
        <v>27</v>
      </c>
      <c r="L9" s="52"/>
      <c r="M9" s="58"/>
      <c r="N9" s="59" t="s">
        <v>28</v>
      </c>
      <c r="O9" s="50" t="s">
        <v>29</v>
      </c>
      <c r="P9" s="50" t="s">
        <v>30</v>
      </c>
      <c r="Q9" s="50" t="s">
        <v>31</v>
      </c>
      <c r="R9" s="52" t="s">
        <v>32</v>
      </c>
      <c r="S9" s="52"/>
      <c r="T9" s="52"/>
      <c r="U9" s="52"/>
      <c r="V9" s="53"/>
    </row>
    <row r="10" spans="1:22" ht="54.6" x14ac:dyDescent="0.3">
      <c r="A10" s="62"/>
      <c r="B10" s="65"/>
      <c r="C10" s="66"/>
      <c r="D10" s="51"/>
      <c r="E10" s="51"/>
      <c r="F10" s="51"/>
      <c r="G10" s="57"/>
      <c r="H10" s="55"/>
      <c r="I10" s="51"/>
      <c r="J10" s="57"/>
      <c r="K10" s="3" t="s">
        <v>33</v>
      </c>
      <c r="L10" s="3" t="s">
        <v>34</v>
      </c>
      <c r="M10" s="10" t="s">
        <v>35</v>
      </c>
      <c r="N10" s="60"/>
      <c r="O10" s="51"/>
      <c r="P10" s="51"/>
      <c r="Q10" s="51"/>
      <c r="R10" s="2" t="s">
        <v>36</v>
      </c>
      <c r="S10" s="11" t="s">
        <v>23</v>
      </c>
      <c r="T10" s="11" t="s">
        <v>26</v>
      </c>
      <c r="U10" s="11" t="s">
        <v>35</v>
      </c>
      <c r="V10" s="12" t="s">
        <v>37</v>
      </c>
    </row>
    <row r="11" spans="1:22" ht="14.4" customHeight="1" x14ac:dyDescent="0.3">
      <c r="A11" s="32">
        <v>1</v>
      </c>
      <c r="B11" s="33" t="s">
        <v>42</v>
      </c>
      <c r="C11" s="32" t="s">
        <v>43</v>
      </c>
      <c r="D11" s="94" t="s">
        <v>168</v>
      </c>
      <c r="E11" s="32" t="s">
        <v>45</v>
      </c>
      <c r="F11" s="5" t="s">
        <v>46</v>
      </c>
      <c r="G11" s="47">
        <v>7</v>
      </c>
      <c r="H11" s="83" t="s">
        <v>38</v>
      </c>
      <c r="I11" s="32" t="s">
        <v>48</v>
      </c>
      <c r="J11" s="36">
        <v>3</v>
      </c>
      <c r="K11" s="34" t="s">
        <v>49</v>
      </c>
      <c r="L11" s="34" t="s">
        <v>50</v>
      </c>
      <c r="M11" s="36">
        <v>3</v>
      </c>
      <c r="N11" s="34">
        <f>G11*J11*M11</f>
        <v>63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</row>
    <row r="12" spans="1:22" ht="19.8" customHeight="1" x14ac:dyDescent="0.3">
      <c r="A12" s="32"/>
      <c r="B12" s="33"/>
      <c r="C12" s="32"/>
      <c r="D12" s="44"/>
      <c r="E12" s="32"/>
      <c r="F12" s="41" t="s">
        <v>47</v>
      </c>
      <c r="G12" s="36"/>
      <c r="H12" s="84"/>
      <c r="I12" s="32"/>
      <c r="J12" s="36"/>
      <c r="K12" s="32"/>
      <c r="L12" s="32"/>
      <c r="M12" s="36"/>
      <c r="N12" s="32"/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</row>
    <row r="13" spans="1:22" ht="19.2" customHeight="1" x14ac:dyDescent="0.3">
      <c r="A13" s="32"/>
      <c r="B13" s="33"/>
      <c r="C13" s="43"/>
      <c r="D13" s="44"/>
      <c r="E13" s="43"/>
      <c r="F13" s="42"/>
      <c r="G13" s="37"/>
      <c r="H13" s="85"/>
      <c r="I13" s="43"/>
      <c r="J13" s="46"/>
      <c r="K13" s="32"/>
      <c r="L13" s="32"/>
      <c r="M13" s="46"/>
      <c r="N13" s="42"/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</row>
    <row r="14" spans="1:22" x14ac:dyDescent="0.3">
      <c r="A14" s="32"/>
      <c r="B14" s="33"/>
      <c r="C14" s="32" t="s">
        <v>44</v>
      </c>
      <c r="D14" s="44"/>
      <c r="E14" s="34" t="s">
        <v>51</v>
      </c>
      <c r="F14" s="5" t="s">
        <v>52</v>
      </c>
      <c r="G14" s="35">
        <v>7</v>
      </c>
      <c r="H14" s="9" t="s">
        <v>38</v>
      </c>
      <c r="I14" s="67" t="s">
        <v>55</v>
      </c>
      <c r="J14" s="47">
        <v>3</v>
      </c>
      <c r="K14" s="34" t="s">
        <v>49</v>
      </c>
      <c r="L14" s="34" t="s">
        <v>50</v>
      </c>
      <c r="M14" s="47">
        <v>3</v>
      </c>
      <c r="N14" s="41">
        <f>G14*J14*M14</f>
        <v>63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</row>
    <row r="15" spans="1:22" x14ac:dyDescent="0.3">
      <c r="A15" s="32"/>
      <c r="B15" s="33"/>
      <c r="C15" s="32"/>
      <c r="D15" s="44"/>
      <c r="E15" s="32"/>
      <c r="F15" s="5" t="s">
        <v>53</v>
      </c>
      <c r="G15" s="36"/>
      <c r="H15" s="9" t="s">
        <v>38</v>
      </c>
      <c r="I15" s="68"/>
      <c r="J15" s="36"/>
      <c r="K15" s="32"/>
      <c r="L15" s="32"/>
      <c r="M15" s="36"/>
      <c r="N15" s="32"/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5" t="s">
        <v>3</v>
      </c>
    </row>
    <row r="16" spans="1:22" x14ac:dyDescent="0.3">
      <c r="A16" s="32"/>
      <c r="B16" s="33"/>
      <c r="C16" s="43"/>
      <c r="D16" s="95"/>
      <c r="E16" s="42"/>
      <c r="F16" s="5" t="s">
        <v>54</v>
      </c>
      <c r="G16" s="37"/>
      <c r="H16" s="9" t="s">
        <v>38</v>
      </c>
      <c r="I16" s="69"/>
      <c r="J16" s="37"/>
      <c r="K16" s="32"/>
      <c r="L16" s="32"/>
      <c r="M16" s="37"/>
      <c r="N16" s="42"/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</row>
    <row r="17" spans="1:22" ht="34.200000000000003" x14ac:dyDescent="0.3">
      <c r="A17" s="32">
        <v>2</v>
      </c>
      <c r="B17" s="33" t="s">
        <v>60</v>
      </c>
      <c r="C17" s="34" t="s">
        <v>61</v>
      </c>
      <c r="D17" s="94" t="s">
        <v>168</v>
      </c>
      <c r="E17" s="22" t="s">
        <v>118</v>
      </c>
      <c r="F17" s="7" t="s">
        <v>119</v>
      </c>
      <c r="G17" s="13">
        <v>8</v>
      </c>
      <c r="H17" s="9" t="s">
        <v>38</v>
      </c>
      <c r="I17" s="7" t="s">
        <v>130</v>
      </c>
      <c r="J17" s="13">
        <v>3</v>
      </c>
      <c r="K17" s="7" t="s">
        <v>131</v>
      </c>
      <c r="L17" s="7" t="s">
        <v>41</v>
      </c>
      <c r="M17" s="13">
        <v>3</v>
      </c>
      <c r="N17" s="5">
        <f>G17*J17*M17</f>
        <v>72</v>
      </c>
      <c r="O17" s="5"/>
      <c r="P17" s="5"/>
      <c r="Q17" s="5"/>
      <c r="R17" s="5"/>
      <c r="S17" s="5"/>
      <c r="T17" s="5"/>
      <c r="U17" s="5"/>
      <c r="V17" s="5"/>
    </row>
    <row r="18" spans="1:22" ht="24" customHeight="1" x14ac:dyDescent="0.3">
      <c r="A18" s="32"/>
      <c r="B18" s="33"/>
      <c r="C18" s="42"/>
      <c r="D18" s="44"/>
      <c r="E18" s="21" t="s">
        <v>63</v>
      </c>
      <c r="F18" s="22" t="s">
        <v>69</v>
      </c>
      <c r="G18" s="13">
        <v>8</v>
      </c>
      <c r="H18" s="9" t="s">
        <v>38</v>
      </c>
      <c r="I18" s="22" t="s">
        <v>64</v>
      </c>
      <c r="J18" s="13">
        <v>4</v>
      </c>
      <c r="K18" s="7" t="s">
        <v>65</v>
      </c>
      <c r="L18" s="7" t="s">
        <v>66</v>
      </c>
      <c r="M18" s="13">
        <v>3</v>
      </c>
      <c r="N18" s="5">
        <f>G18*J18*M18</f>
        <v>96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3</v>
      </c>
      <c r="U18" s="5" t="s">
        <v>3</v>
      </c>
      <c r="V18" s="5" t="s">
        <v>3</v>
      </c>
    </row>
    <row r="19" spans="1:22" ht="24" customHeight="1" x14ac:dyDescent="0.3">
      <c r="A19" s="32"/>
      <c r="B19" s="33"/>
      <c r="C19" s="41" t="s">
        <v>62</v>
      </c>
      <c r="D19" s="44"/>
      <c r="E19" s="21" t="s">
        <v>166</v>
      </c>
      <c r="F19" s="22" t="s">
        <v>69</v>
      </c>
      <c r="G19" s="16">
        <v>6</v>
      </c>
      <c r="H19" s="9" t="s">
        <v>39</v>
      </c>
      <c r="I19" s="22" t="s">
        <v>165</v>
      </c>
      <c r="J19" s="16">
        <v>3</v>
      </c>
      <c r="K19" s="7" t="s">
        <v>92</v>
      </c>
      <c r="L19" s="7" t="s">
        <v>41</v>
      </c>
      <c r="M19" s="16">
        <v>3</v>
      </c>
      <c r="N19" s="22">
        <f>G19*J19*M19</f>
        <v>54</v>
      </c>
      <c r="O19" s="5"/>
      <c r="P19" s="5"/>
      <c r="Q19" s="5"/>
      <c r="R19" s="5"/>
      <c r="S19" s="5"/>
      <c r="T19" s="5"/>
      <c r="U19" s="5"/>
      <c r="V19" s="5"/>
    </row>
    <row r="20" spans="1:22" ht="34.200000000000003" customHeight="1" x14ac:dyDescent="0.3">
      <c r="A20" s="32"/>
      <c r="B20" s="33"/>
      <c r="C20" s="32"/>
      <c r="D20" s="44"/>
      <c r="E20" s="21" t="s">
        <v>129</v>
      </c>
      <c r="F20" s="6" t="s">
        <v>110</v>
      </c>
      <c r="G20" s="14">
        <v>8</v>
      </c>
      <c r="H20" s="9" t="s">
        <v>38</v>
      </c>
      <c r="I20" s="6" t="s">
        <v>70</v>
      </c>
      <c r="J20" s="14">
        <v>3</v>
      </c>
      <c r="K20" s="7" t="s">
        <v>71</v>
      </c>
      <c r="L20" s="7" t="s">
        <v>72</v>
      </c>
      <c r="M20" s="14">
        <v>3</v>
      </c>
      <c r="N20" s="7">
        <f>G20*J20*M20</f>
        <v>72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3</v>
      </c>
      <c r="U20" s="5" t="s">
        <v>3</v>
      </c>
      <c r="V20" s="5" t="s">
        <v>3</v>
      </c>
    </row>
    <row r="21" spans="1:22" ht="24" customHeight="1" x14ac:dyDescent="0.3">
      <c r="A21" s="32"/>
      <c r="B21" s="33"/>
      <c r="C21" s="7" t="s">
        <v>73</v>
      </c>
      <c r="D21" s="44"/>
      <c r="E21" s="23" t="s">
        <v>67</v>
      </c>
      <c r="F21" s="32" t="s">
        <v>75</v>
      </c>
      <c r="G21" s="36">
        <v>7</v>
      </c>
      <c r="H21" s="48" t="s">
        <v>38</v>
      </c>
      <c r="I21" s="38" t="s">
        <v>76</v>
      </c>
      <c r="J21" s="36">
        <v>3</v>
      </c>
      <c r="K21" s="32" t="s">
        <v>77</v>
      </c>
      <c r="L21" s="32" t="s">
        <v>41</v>
      </c>
      <c r="M21" s="36">
        <v>3</v>
      </c>
      <c r="N21" s="32">
        <f>G21*J21*M21</f>
        <v>63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</row>
    <row r="22" spans="1:22" ht="24" customHeight="1" x14ac:dyDescent="0.3">
      <c r="A22" s="43"/>
      <c r="B22" s="76"/>
      <c r="C22" s="15" t="s">
        <v>74</v>
      </c>
      <c r="D22" s="95"/>
      <c r="E22" s="22" t="s">
        <v>68</v>
      </c>
      <c r="F22" s="32"/>
      <c r="G22" s="46"/>
      <c r="H22" s="49"/>
      <c r="I22" s="38"/>
      <c r="J22" s="46"/>
      <c r="K22" s="43"/>
      <c r="L22" s="43"/>
      <c r="M22" s="46"/>
      <c r="N22" s="43"/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3</v>
      </c>
      <c r="U22" s="5" t="s">
        <v>3</v>
      </c>
      <c r="V22" s="5" t="s">
        <v>3</v>
      </c>
    </row>
    <row r="23" spans="1:22" ht="34.799999999999997" customHeight="1" x14ac:dyDescent="0.3">
      <c r="A23" s="32">
        <v>3</v>
      </c>
      <c r="B23" s="33" t="s">
        <v>78</v>
      </c>
      <c r="C23" s="34" t="s">
        <v>79</v>
      </c>
      <c r="D23" s="44" t="s">
        <v>168</v>
      </c>
      <c r="E23" s="23" t="s">
        <v>81</v>
      </c>
      <c r="F23" s="5" t="s">
        <v>82</v>
      </c>
      <c r="G23" s="13">
        <v>6</v>
      </c>
      <c r="H23" s="9" t="s">
        <v>39</v>
      </c>
      <c r="I23" s="5" t="s">
        <v>83</v>
      </c>
      <c r="J23" s="13">
        <v>3</v>
      </c>
      <c r="K23" s="8" t="s">
        <v>84</v>
      </c>
      <c r="L23" s="7" t="s">
        <v>41</v>
      </c>
      <c r="M23" s="13">
        <v>2</v>
      </c>
      <c r="N23" s="5">
        <f>G23*J23*M23</f>
        <v>36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3</v>
      </c>
      <c r="T23" s="5" t="s">
        <v>3</v>
      </c>
      <c r="U23" s="5" t="s">
        <v>3</v>
      </c>
      <c r="V23" s="5" t="s">
        <v>3</v>
      </c>
    </row>
    <row r="24" spans="1:22" ht="34.799999999999997" customHeight="1" x14ac:dyDescent="0.3">
      <c r="A24" s="32"/>
      <c r="B24" s="33"/>
      <c r="C24" s="32"/>
      <c r="D24" s="44"/>
      <c r="E24" s="22" t="s">
        <v>118</v>
      </c>
      <c r="F24" s="7" t="s">
        <v>119</v>
      </c>
      <c r="G24" s="16">
        <v>8</v>
      </c>
      <c r="H24" s="28" t="s">
        <v>39</v>
      </c>
      <c r="I24" s="7" t="s">
        <v>130</v>
      </c>
      <c r="J24" s="16">
        <v>4</v>
      </c>
      <c r="K24" s="7" t="s">
        <v>131</v>
      </c>
      <c r="L24" s="7" t="s">
        <v>41</v>
      </c>
      <c r="M24" s="16">
        <v>3</v>
      </c>
      <c r="N24" s="22">
        <f>G24*J24*M24</f>
        <v>96</v>
      </c>
      <c r="O24" s="5"/>
      <c r="P24" s="5"/>
      <c r="Q24" s="5"/>
      <c r="R24" s="5"/>
      <c r="S24" s="5"/>
      <c r="T24" s="5"/>
      <c r="U24" s="5"/>
      <c r="V24" s="5"/>
    </row>
    <row r="25" spans="1:22" ht="27" customHeight="1" x14ac:dyDescent="0.3">
      <c r="A25" s="32"/>
      <c r="B25" s="33"/>
      <c r="C25" s="7" t="s">
        <v>80</v>
      </c>
      <c r="D25" s="44"/>
      <c r="E25" s="23" t="s">
        <v>67</v>
      </c>
      <c r="F25" s="32" t="s">
        <v>75</v>
      </c>
      <c r="G25" s="35">
        <v>6</v>
      </c>
      <c r="H25" s="39" t="s">
        <v>39</v>
      </c>
      <c r="I25" s="38" t="s">
        <v>76</v>
      </c>
      <c r="J25" s="35">
        <v>3</v>
      </c>
      <c r="K25" s="32" t="s">
        <v>77</v>
      </c>
      <c r="L25" s="32" t="s">
        <v>41</v>
      </c>
      <c r="M25" s="35">
        <v>2</v>
      </c>
      <c r="N25" s="41">
        <f>G25*J25*M25</f>
        <v>36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3</v>
      </c>
      <c r="U25" s="5" t="s">
        <v>3</v>
      </c>
      <c r="V25" s="5" t="s">
        <v>3</v>
      </c>
    </row>
    <row r="26" spans="1:22" ht="23.4" customHeight="1" x14ac:dyDescent="0.3">
      <c r="A26" s="32"/>
      <c r="B26" s="33"/>
      <c r="C26" s="15" t="s">
        <v>74</v>
      </c>
      <c r="D26" s="44"/>
      <c r="E26" s="22" t="s">
        <v>68</v>
      </c>
      <c r="F26" s="32"/>
      <c r="G26" s="37"/>
      <c r="H26" s="40"/>
      <c r="I26" s="38"/>
      <c r="J26" s="37"/>
      <c r="K26" s="43"/>
      <c r="L26" s="43"/>
      <c r="M26" s="37"/>
      <c r="N26" s="42"/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</row>
    <row r="27" spans="1:22" ht="31.8" customHeight="1" x14ac:dyDescent="0.3">
      <c r="A27" s="32">
        <v>4</v>
      </c>
      <c r="B27" s="45" t="s">
        <v>85</v>
      </c>
      <c r="C27" s="97" t="s">
        <v>86</v>
      </c>
      <c r="D27" s="90" t="s">
        <v>168</v>
      </c>
      <c r="E27" s="22" t="s">
        <v>118</v>
      </c>
      <c r="F27" s="7" t="s">
        <v>119</v>
      </c>
      <c r="G27" s="13">
        <v>6</v>
      </c>
      <c r="H27" s="9" t="s">
        <v>39</v>
      </c>
      <c r="I27" s="7" t="s">
        <v>130</v>
      </c>
      <c r="J27" s="13">
        <v>3</v>
      </c>
      <c r="K27" s="34" t="s">
        <v>92</v>
      </c>
      <c r="L27" s="34" t="s">
        <v>93</v>
      </c>
      <c r="M27" s="13">
        <v>2</v>
      </c>
      <c r="N27" s="5">
        <f>G27*J27*M27</f>
        <v>36</v>
      </c>
      <c r="O27" s="5" t="s">
        <v>3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</row>
    <row r="28" spans="1:22" ht="31.8" customHeight="1" x14ac:dyDescent="0.3">
      <c r="A28" s="32"/>
      <c r="B28" s="33"/>
      <c r="C28" s="98"/>
      <c r="D28" s="90"/>
      <c r="E28" s="22" t="s">
        <v>167</v>
      </c>
      <c r="F28" s="7" t="s">
        <v>69</v>
      </c>
      <c r="G28" s="13">
        <v>6</v>
      </c>
      <c r="H28" s="9" t="s">
        <v>39</v>
      </c>
      <c r="I28" s="22"/>
      <c r="J28" s="13"/>
      <c r="K28" s="32"/>
      <c r="L28" s="32"/>
      <c r="M28" s="13"/>
      <c r="N28" s="5"/>
      <c r="O28" s="5"/>
      <c r="P28" s="5"/>
      <c r="Q28" s="5"/>
      <c r="R28" s="5"/>
      <c r="S28" s="5"/>
      <c r="T28" s="5"/>
      <c r="U28" s="5"/>
      <c r="V28" s="5"/>
    </row>
    <row r="29" spans="1:22" ht="50.4" customHeight="1" x14ac:dyDescent="0.3">
      <c r="A29" s="32"/>
      <c r="B29" s="33"/>
      <c r="C29" s="4" t="s">
        <v>87</v>
      </c>
      <c r="D29" s="90"/>
      <c r="E29" s="22" t="s">
        <v>89</v>
      </c>
      <c r="F29" s="7" t="s">
        <v>75</v>
      </c>
      <c r="G29" s="13">
        <v>6</v>
      </c>
      <c r="H29" s="9" t="s">
        <v>39</v>
      </c>
      <c r="I29" s="30" t="s">
        <v>91</v>
      </c>
      <c r="J29" s="13">
        <v>3</v>
      </c>
      <c r="K29" s="32"/>
      <c r="L29" s="32"/>
      <c r="M29" s="13">
        <v>2</v>
      </c>
      <c r="N29" s="5">
        <f>G29*J29*M29</f>
        <v>36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3</v>
      </c>
      <c r="T29" s="5" t="s">
        <v>3</v>
      </c>
      <c r="U29" s="5" t="s">
        <v>3</v>
      </c>
      <c r="V29" s="5" t="s">
        <v>3</v>
      </c>
    </row>
    <row r="30" spans="1:22" ht="51.6" customHeight="1" x14ac:dyDescent="0.3">
      <c r="A30" s="32"/>
      <c r="B30" s="33"/>
      <c r="C30" s="4" t="s">
        <v>88</v>
      </c>
      <c r="D30" s="90"/>
      <c r="E30" s="21" t="s">
        <v>90</v>
      </c>
      <c r="F30" s="21" t="s">
        <v>94</v>
      </c>
      <c r="G30" s="13">
        <v>6</v>
      </c>
      <c r="H30" s="9" t="s">
        <v>39</v>
      </c>
      <c r="I30" s="21" t="s">
        <v>95</v>
      </c>
      <c r="J30" s="13">
        <v>3</v>
      </c>
      <c r="K30" s="8" t="s">
        <v>84</v>
      </c>
      <c r="L30" s="8" t="s">
        <v>50</v>
      </c>
      <c r="M30" s="13">
        <v>3</v>
      </c>
      <c r="N30" s="5">
        <f>G30*J30*M30</f>
        <v>54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</row>
    <row r="31" spans="1:22" ht="31.2" customHeight="1" x14ac:dyDescent="0.3">
      <c r="A31" s="32"/>
      <c r="B31" s="33"/>
      <c r="C31" s="7" t="s">
        <v>73</v>
      </c>
      <c r="D31" s="90"/>
      <c r="E31" s="23" t="s">
        <v>67</v>
      </c>
      <c r="F31" s="32" t="s">
        <v>75</v>
      </c>
      <c r="G31" s="35">
        <v>6</v>
      </c>
      <c r="H31" s="39" t="s">
        <v>39</v>
      </c>
      <c r="I31" s="38" t="s">
        <v>76</v>
      </c>
      <c r="J31" s="35">
        <v>3</v>
      </c>
      <c r="K31" s="32" t="s">
        <v>77</v>
      </c>
      <c r="L31" s="32" t="s">
        <v>41</v>
      </c>
      <c r="M31" s="35">
        <v>2</v>
      </c>
      <c r="N31" s="41">
        <f>G31*J31*M31</f>
        <v>36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</row>
    <row r="32" spans="1:22" ht="22.8" customHeight="1" x14ac:dyDescent="0.3">
      <c r="A32" s="32"/>
      <c r="B32" s="33"/>
      <c r="C32" s="15" t="s">
        <v>74</v>
      </c>
      <c r="D32" s="96"/>
      <c r="E32" s="22" t="s">
        <v>68</v>
      </c>
      <c r="F32" s="32"/>
      <c r="G32" s="37"/>
      <c r="H32" s="40"/>
      <c r="I32" s="38"/>
      <c r="J32" s="37"/>
      <c r="K32" s="43"/>
      <c r="L32" s="43"/>
      <c r="M32" s="37"/>
      <c r="N32" s="42"/>
      <c r="O32" s="5" t="s">
        <v>3</v>
      </c>
      <c r="P32" s="5" t="s">
        <v>3</v>
      </c>
      <c r="Q32" s="5" t="s">
        <v>3</v>
      </c>
      <c r="R32" s="5" t="s">
        <v>3</v>
      </c>
      <c r="S32" s="5" t="s">
        <v>3</v>
      </c>
      <c r="T32" s="5" t="s">
        <v>3</v>
      </c>
      <c r="U32" s="5" t="s">
        <v>3</v>
      </c>
      <c r="V32" s="5" t="s">
        <v>3</v>
      </c>
    </row>
    <row r="33" spans="1:22" ht="31.2" customHeight="1" x14ac:dyDescent="0.3">
      <c r="A33" s="32">
        <v>5</v>
      </c>
      <c r="B33" s="33" t="s">
        <v>96</v>
      </c>
      <c r="C33" s="7" t="s">
        <v>97</v>
      </c>
      <c r="D33" s="94" t="s">
        <v>168</v>
      </c>
      <c r="E33" s="22" t="s">
        <v>120</v>
      </c>
      <c r="F33" s="7" t="s">
        <v>121</v>
      </c>
      <c r="G33" s="35">
        <v>6</v>
      </c>
      <c r="H33" s="9" t="s">
        <v>39</v>
      </c>
      <c r="I33" s="6" t="s">
        <v>111</v>
      </c>
      <c r="J33" s="35">
        <v>4</v>
      </c>
      <c r="K33" s="32" t="s">
        <v>92</v>
      </c>
      <c r="L33" s="34" t="s">
        <v>114</v>
      </c>
      <c r="M33" s="35">
        <v>4</v>
      </c>
      <c r="N33" s="41">
        <f>G33*J33*M33</f>
        <v>96</v>
      </c>
      <c r="O33" s="5" t="s">
        <v>3</v>
      </c>
      <c r="P33" s="5" t="s">
        <v>3</v>
      </c>
      <c r="Q33" s="5" t="s">
        <v>3</v>
      </c>
      <c r="R33" s="5" t="s">
        <v>3</v>
      </c>
      <c r="S33" s="5" t="s">
        <v>3</v>
      </c>
      <c r="T33" s="5" t="s">
        <v>3</v>
      </c>
      <c r="U33" s="5" t="s">
        <v>3</v>
      </c>
      <c r="V33" s="5" t="s">
        <v>3</v>
      </c>
    </row>
    <row r="34" spans="1:22" ht="30.6" customHeight="1" x14ac:dyDescent="0.3">
      <c r="A34" s="32"/>
      <c r="B34" s="33"/>
      <c r="C34" s="27" t="s">
        <v>98</v>
      </c>
      <c r="D34" s="44"/>
      <c r="E34" s="23" t="s">
        <v>67</v>
      </c>
      <c r="F34" s="5" t="s">
        <v>75</v>
      </c>
      <c r="G34" s="36"/>
      <c r="H34" s="9" t="s">
        <v>39</v>
      </c>
      <c r="I34" s="7" t="s">
        <v>112</v>
      </c>
      <c r="J34" s="36"/>
      <c r="K34" s="32"/>
      <c r="L34" s="32"/>
      <c r="M34" s="36"/>
      <c r="N34" s="32"/>
      <c r="O34" s="5" t="s">
        <v>3</v>
      </c>
      <c r="P34" s="5" t="s">
        <v>3</v>
      </c>
      <c r="Q34" s="5" t="s">
        <v>3</v>
      </c>
      <c r="R34" s="5" t="s">
        <v>3</v>
      </c>
      <c r="S34" s="5" t="s">
        <v>3</v>
      </c>
      <c r="T34" s="5" t="s">
        <v>3</v>
      </c>
      <c r="U34" s="5" t="s">
        <v>3</v>
      </c>
      <c r="V34" s="5" t="s">
        <v>3</v>
      </c>
    </row>
    <row r="35" spans="1:22" ht="45.6" customHeight="1" x14ac:dyDescent="0.3">
      <c r="A35" s="32"/>
      <c r="B35" s="33"/>
      <c r="C35" s="27" t="s">
        <v>99</v>
      </c>
      <c r="D35" s="44"/>
      <c r="E35" s="6" t="s">
        <v>89</v>
      </c>
      <c r="F35" s="6" t="s">
        <v>75</v>
      </c>
      <c r="G35" s="36"/>
      <c r="H35" s="9" t="s">
        <v>39</v>
      </c>
      <c r="I35" s="6" t="s">
        <v>113</v>
      </c>
      <c r="J35" s="36"/>
      <c r="K35" s="32"/>
      <c r="L35" s="32"/>
      <c r="M35" s="36"/>
      <c r="N35" s="32"/>
      <c r="O35" s="5" t="s">
        <v>3</v>
      </c>
      <c r="P35" s="5" t="s">
        <v>3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 t="s">
        <v>3</v>
      </c>
    </row>
    <row r="36" spans="1:22" ht="32.4" customHeight="1" x14ac:dyDescent="0.3">
      <c r="A36" s="32"/>
      <c r="B36" s="33"/>
      <c r="C36" s="27" t="s">
        <v>100</v>
      </c>
      <c r="D36" s="44"/>
      <c r="E36" s="6" t="s">
        <v>89</v>
      </c>
      <c r="F36" s="6" t="s">
        <v>75</v>
      </c>
      <c r="G36" s="36"/>
      <c r="H36" s="26" t="s">
        <v>39</v>
      </c>
      <c r="I36" s="7" t="s">
        <v>115</v>
      </c>
      <c r="J36" s="37"/>
      <c r="K36" s="32"/>
      <c r="L36" s="32"/>
      <c r="M36" s="37"/>
      <c r="N36" s="42"/>
      <c r="O36" s="5" t="s">
        <v>3</v>
      </c>
      <c r="P36" s="5" t="s">
        <v>3</v>
      </c>
      <c r="Q36" s="5" t="s">
        <v>3</v>
      </c>
      <c r="R36" s="5" t="s">
        <v>3</v>
      </c>
      <c r="S36" s="5" t="s">
        <v>3</v>
      </c>
      <c r="T36" s="5" t="s">
        <v>3</v>
      </c>
      <c r="U36" s="5" t="s">
        <v>3</v>
      </c>
      <c r="V36" s="5" t="s">
        <v>3</v>
      </c>
    </row>
    <row r="37" spans="1:22" ht="46.2" customHeight="1" x14ac:dyDescent="0.3">
      <c r="A37" s="32">
        <v>6</v>
      </c>
      <c r="B37" s="33" t="s">
        <v>101</v>
      </c>
      <c r="C37" s="7" t="s">
        <v>102</v>
      </c>
      <c r="D37" s="44" t="s">
        <v>168</v>
      </c>
      <c r="E37" s="22" t="s">
        <v>117</v>
      </c>
      <c r="F37" s="6" t="s">
        <v>75</v>
      </c>
      <c r="G37" s="29">
        <v>8</v>
      </c>
      <c r="H37" s="9" t="s">
        <v>38</v>
      </c>
      <c r="I37" s="7" t="s">
        <v>130</v>
      </c>
      <c r="J37" s="13">
        <v>3</v>
      </c>
      <c r="K37" s="7" t="s">
        <v>131</v>
      </c>
      <c r="L37" s="7" t="s">
        <v>41</v>
      </c>
      <c r="M37" s="13">
        <v>3</v>
      </c>
      <c r="N37" s="5">
        <f>G37*J37*M37</f>
        <v>72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</row>
    <row r="38" spans="1:22" ht="85.2" customHeight="1" x14ac:dyDescent="0.3">
      <c r="A38" s="32"/>
      <c r="B38" s="33"/>
      <c r="C38" s="7" t="s">
        <v>103</v>
      </c>
      <c r="D38" s="44"/>
      <c r="E38" s="22" t="s">
        <v>89</v>
      </c>
      <c r="F38" s="6" t="s">
        <v>75</v>
      </c>
      <c r="G38" s="13">
        <v>7</v>
      </c>
      <c r="H38" s="9" t="s">
        <v>38</v>
      </c>
      <c r="I38" s="30" t="s">
        <v>91</v>
      </c>
      <c r="J38" s="13">
        <v>3</v>
      </c>
      <c r="K38" s="7" t="s">
        <v>92</v>
      </c>
      <c r="L38" s="7" t="s">
        <v>93</v>
      </c>
      <c r="M38" s="13">
        <v>3</v>
      </c>
      <c r="N38" s="5">
        <f>G38*J38*M38</f>
        <v>63</v>
      </c>
      <c r="O38" s="5" t="s">
        <v>3</v>
      </c>
      <c r="P38" s="5" t="s">
        <v>3</v>
      </c>
      <c r="Q38" s="5" t="s">
        <v>3</v>
      </c>
      <c r="R38" s="5" t="s">
        <v>3</v>
      </c>
      <c r="S38" s="5" t="s">
        <v>3</v>
      </c>
      <c r="T38" s="5" t="s">
        <v>3</v>
      </c>
      <c r="U38" s="5" t="s">
        <v>3</v>
      </c>
      <c r="V38" s="5" t="s">
        <v>3</v>
      </c>
    </row>
    <row r="39" spans="1:22" ht="45.6" x14ac:dyDescent="0.3">
      <c r="A39" s="32"/>
      <c r="B39" s="33"/>
      <c r="C39" s="7" t="s">
        <v>104</v>
      </c>
      <c r="D39" s="44"/>
      <c r="E39" s="21" t="s">
        <v>116</v>
      </c>
      <c r="F39" s="6" t="s">
        <v>75</v>
      </c>
      <c r="G39" s="13">
        <v>7</v>
      </c>
      <c r="H39" s="9" t="s">
        <v>38</v>
      </c>
      <c r="I39" s="6" t="s">
        <v>91</v>
      </c>
      <c r="J39" s="13">
        <v>3</v>
      </c>
      <c r="K39" s="7" t="s">
        <v>77</v>
      </c>
      <c r="L39" s="7" t="s">
        <v>93</v>
      </c>
      <c r="M39" s="13">
        <v>3</v>
      </c>
      <c r="N39" s="5">
        <f>G39*J39*M39</f>
        <v>63</v>
      </c>
      <c r="O39" s="5" t="s">
        <v>3</v>
      </c>
      <c r="P39" s="5" t="s">
        <v>3</v>
      </c>
      <c r="Q39" s="5" t="s">
        <v>3</v>
      </c>
      <c r="R39" s="5" t="s">
        <v>3</v>
      </c>
      <c r="S39" s="5" t="s">
        <v>3</v>
      </c>
      <c r="T39" s="5" t="s">
        <v>3</v>
      </c>
      <c r="U39" s="5" t="s">
        <v>3</v>
      </c>
      <c r="V39" s="5" t="s">
        <v>3</v>
      </c>
    </row>
    <row r="40" spans="1:22" ht="45.6" x14ac:dyDescent="0.3">
      <c r="A40" s="32">
        <v>7</v>
      </c>
      <c r="B40" s="33" t="s">
        <v>105</v>
      </c>
      <c r="C40" s="6" t="s">
        <v>106</v>
      </c>
      <c r="D40" s="44" t="s">
        <v>168</v>
      </c>
      <c r="E40" s="21" t="s">
        <v>90</v>
      </c>
      <c r="F40" s="23" t="s">
        <v>94</v>
      </c>
      <c r="G40" s="17">
        <v>7</v>
      </c>
      <c r="H40" s="9" t="s">
        <v>38</v>
      </c>
      <c r="I40" s="6" t="s">
        <v>83</v>
      </c>
      <c r="J40" s="13">
        <v>3</v>
      </c>
      <c r="K40" s="6" t="s">
        <v>84</v>
      </c>
      <c r="L40" s="6" t="s">
        <v>50</v>
      </c>
      <c r="M40" s="13">
        <v>3</v>
      </c>
      <c r="N40" s="5">
        <f>G40*J40*M40</f>
        <v>63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3</v>
      </c>
      <c r="V40" s="5" t="s">
        <v>3</v>
      </c>
    </row>
    <row r="41" spans="1:22" ht="83.4" customHeight="1" x14ac:dyDescent="0.3">
      <c r="A41" s="32"/>
      <c r="B41" s="33"/>
      <c r="C41" s="7" t="s">
        <v>107</v>
      </c>
      <c r="D41" s="44"/>
      <c r="E41" s="22" t="s">
        <v>118</v>
      </c>
      <c r="F41" s="7" t="s">
        <v>119</v>
      </c>
      <c r="G41" s="13">
        <v>8</v>
      </c>
      <c r="H41" s="9" t="s">
        <v>38</v>
      </c>
      <c r="I41" s="7" t="s">
        <v>130</v>
      </c>
      <c r="J41" s="13">
        <v>3</v>
      </c>
      <c r="K41" s="7" t="s">
        <v>92</v>
      </c>
      <c r="L41" s="7" t="s">
        <v>93</v>
      </c>
      <c r="M41" s="13">
        <v>3</v>
      </c>
      <c r="N41" s="5">
        <f t="shared" ref="N41:N46" si="0">G41*J41*M41</f>
        <v>72</v>
      </c>
      <c r="O41" s="5" t="s">
        <v>3</v>
      </c>
      <c r="P41" s="5" t="s">
        <v>3</v>
      </c>
      <c r="Q41" s="5" t="s">
        <v>3</v>
      </c>
      <c r="R41" s="5" t="s">
        <v>3</v>
      </c>
      <c r="S41" s="5" t="s">
        <v>3</v>
      </c>
      <c r="T41" s="5" t="s">
        <v>3</v>
      </c>
      <c r="U41" s="5" t="s">
        <v>3</v>
      </c>
      <c r="V41" s="5" t="s">
        <v>3</v>
      </c>
    </row>
    <row r="42" spans="1:22" ht="45.6" x14ac:dyDescent="0.3">
      <c r="A42" s="32">
        <v>8</v>
      </c>
      <c r="B42" s="33" t="s">
        <v>108</v>
      </c>
      <c r="C42" s="6" t="s">
        <v>122</v>
      </c>
      <c r="D42" s="44" t="s">
        <v>168</v>
      </c>
      <c r="E42" s="22" t="s">
        <v>90</v>
      </c>
      <c r="F42" s="23" t="s">
        <v>94</v>
      </c>
      <c r="G42" s="17">
        <v>7</v>
      </c>
      <c r="H42" s="9" t="s">
        <v>38</v>
      </c>
      <c r="I42" s="6" t="s">
        <v>83</v>
      </c>
      <c r="J42" s="13">
        <v>3</v>
      </c>
      <c r="K42" s="6" t="s">
        <v>84</v>
      </c>
      <c r="L42" s="6" t="s">
        <v>50</v>
      </c>
      <c r="M42" s="13">
        <v>3</v>
      </c>
      <c r="N42" s="5">
        <f t="shared" si="0"/>
        <v>63</v>
      </c>
      <c r="O42" s="5" t="s">
        <v>3</v>
      </c>
      <c r="P42" s="5" t="s">
        <v>3</v>
      </c>
      <c r="Q42" s="5" t="s">
        <v>3</v>
      </c>
      <c r="R42" s="5" t="s">
        <v>3</v>
      </c>
      <c r="S42" s="5" t="s">
        <v>3</v>
      </c>
      <c r="T42" s="5" t="s">
        <v>3</v>
      </c>
      <c r="U42" s="5" t="s">
        <v>3</v>
      </c>
      <c r="V42" s="5" t="s">
        <v>3</v>
      </c>
    </row>
    <row r="43" spans="1:22" ht="75" customHeight="1" x14ac:dyDescent="0.3">
      <c r="A43" s="32"/>
      <c r="B43" s="33"/>
      <c r="C43" s="7" t="s">
        <v>123</v>
      </c>
      <c r="D43" s="44"/>
      <c r="E43" s="22" t="s">
        <v>120</v>
      </c>
      <c r="F43" s="23" t="s">
        <v>121</v>
      </c>
      <c r="G43" s="13">
        <v>8</v>
      </c>
      <c r="H43" s="9" t="s">
        <v>38</v>
      </c>
      <c r="I43" s="7" t="s">
        <v>132</v>
      </c>
      <c r="J43" s="13">
        <v>4</v>
      </c>
      <c r="K43" s="7" t="s">
        <v>92</v>
      </c>
      <c r="L43" s="7" t="s">
        <v>93</v>
      </c>
      <c r="M43" s="13">
        <v>3</v>
      </c>
      <c r="N43" s="5">
        <f t="shared" si="0"/>
        <v>96</v>
      </c>
      <c r="O43" s="5"/>
      <c r="P43" s="5"/>
      <c r="Q43" s="5"/>
      <c r="R43" s="5"/>
      <c r="S43" s="5"/>
      <c r="T43" s="5"/>
      <c r="U43" s="5"/>
      <c r="V43" s="5"/>
    </row>
    <row r="44" spans="1:22" ht="79.8" customHeight="1" x14ac:dyDescent="0.3">
      <c r="A44" s="32"/>
      <c r="B44" s="33"/>
      <c r="C44" s="7" t="s">
        <v>124</v>
      </c>
      <c r="D44" s="44"/>
      <c r="E44" s="22" t="s">
        <v>89</v>
      </c>
      <c r="F44" s="6" t="s">
        <v>75</v>
      </c>
      <c r="G44" s="13">
        <v>6</v>
      </c>
      <c r="H44" s="26" t="s">
        <v>39</v>
      </c>
      <c r="I44" s="7" t="s">
        <v>115</v>
      </c>
      <c r="J44" s="13">
        <v>3</v>
      </c>
      <c r="K44" s="7" t="s">
        <v>92</v>
      </c>
      <c r="L44" s="7" t="s">
        <v>93</v>
      </c>
      <c r="M44" s="13">
        <v>3</v>
      </c>
      <c r="N44" s="5">
        <f t="shared" si="0"/>
        <v>54</v>
      </c>
      <c r="O44" s="5" t="s">
        <v>3</v>
      </c>
      <c r="P44" s="5" t="s">
        <v>3</v>
      </c>
      <c r="Q44" s="5" t="s">
        <v>3</v>
      </c>
      <c r="R44" s="5" t="s">
        <v>3</v>
      </c>
      <c r="S44" s="5" t="s">
        <v>3</v>
      </c>
      <c r="T44" s="5" t="s">
        <v>3</v>
      </c>
      <c r="U44" s="5" t="s">
        <v>3</v>
      </c>
      <c r="V44" s="5" t="s">
        <v>3</v>
      </c>
    </row>
    <row r="45" spans="1:22" ht="125.4" x14ac:dyDescent="0.3">
      <c r="A45" s="32">
        <v>9</v>
      </c>
      <c r="B45" s="33" t="s">
        <v>109</v>
      </c>
      <c r="C45" s="6" t="s">
        <v>125</v>
      </c>
      <c r="D45" s="44" t="s">
        <v>168</v>
      </c>
      <c r="E45" s="6" t="s">
        <v>127</v>
      </c>
      <c r="F45" s="6" t="s">
        <v>127</v>
      </c>
      <c r="G45" s="17">
        <v>8</v>
      </c>
      <c r="H45" s="9" t="s">
        <v>38</v>
      </c>
      <c r="I45" s="6" t="s">
        <v>133</v>
      </c>
      <c r="J45" s="13">
        <v>3</v>
      </c>
      <c r="K45" s="6" t="s">
        <v>92</v>
      </c>
      <c r="L45" s="6" t="s">
        <v>93</v>
      </c>
      <c r="M45" s="13">
        <v>3</v>
      </c>
      <c r="N45" s="5">
        <f t="shared" si="0"/>
        <v>72</v>
      </c>
      <c r="O45" s="5" t="s">
        <v>3</v>
      </c>
      <c r="P45" s="5" t="s">
        <v>3</v>
      </c>
      <c r="Q45" s="5" t="s">
        <v>3</v>
      </c>
      <c r="R45" s="5" t="s">
        <v>3</v>
      </c>
      <c r="S45" s="5" t="s">
        <v>3</v>
      </c>
      <c r="T45" s="5" t="s">
        <v>3</v>
      </c>
      <c r="U45" s="5" t="s">
        <v>3</v>
      </c>
      <c r="V45" s="5" t="s">
        <v>3</v>
      </c>
    </row>
    <row r="46" spans="1:22" ht="75.599999999999994" customHeight="1" x14ac:dyDescent="0.3">
      <c r="A46" s="32"/>
      <c r="B46" s="33"/>
      <c r="C46" s="7" t="s">
        <v>126</v>
      </c>
      <c r="D46" s="44"/>
      <c r="E46" s="22" t="s">
        <v>40</v>
      </c>
      <c r="F46" s="6" t="s">
        <v>128</v>
      </c>
      <c r="G46" s="13">
        <v>7</v>
      </c>
      <c r="H46" s="9" t="s">
        <v>38</v>
      </c>
      <c r="I46" s="7" t="s">
        <v>134</v>
      </c>
      <c r="J46" s="13">
        <v>3</v>
      </c>
      <c r="K46" s="7" t="s">
        <v>92</v>
      </c>
      <c r="L46" s="7" t="s">
        <v>93</v>
      </c>
      <c r="M46" s="13">
        <v>3</v>
      </c>
      <c r="N46" s="5">
        <f t="shared" si="0"/>
        <v>63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</row>
    <row r="47" spans="1:22" ht="85.2" customHeight="1" x14ac:dyDescent="0.3">
      <c r="A47" s="32">
        <v>10</v>
      </c>
      <c r="B47" s="33" t="s">
        <v>136</v>
      </c>
      <c r="C47" s="6" t="s">
        <v>137</v>
      </c>
      <c r="D47" s="44" t="s">
        <v>168</v>
      </c>
      <c r="E47" s="22" t="s">
        <v>118</v>
      </c>
      <c r="F47" s="6" t="s">
        <v>119</v>
      </c>
      <c r="G47" s="17">
        <v>8</v>
      </c>
      <c r="H47" s="9" t="s">
        <v>38</v>
      </c>
      <c r="I47" s="6" t="s">
        <v>133</v>
      </c>
      <c r="J47" s="13">
        <v>3</v>
      </c>
      <c r="K47" s="6" t="s">
        <v>92</v>
      </c>
      <c r="L47" s="6" t="s">
        <v>93</v>
      </c>
      <c r="M47" s="13">
        <v>3</v>
      </c>
      <c r="N47" s="5">
        <f t="shared" ref="N47:N56" si="1">G47*J47*M47</f>
        <v>72</v>
      </c>
      <c r="O47" s="5" t="s">
        <v>3</v>
      </c>
      <c r="P47" s="5" t="s">
        <v>3</v>
      </c>
      <c r="Q47" s="5" t="s">
        <v>3</v>
      </c>
      <c r="R47" s="5" t="s">
        <v>3</v>
      </c>
      <c r="S47" s="5" t="s">
        <v>3</v>
      </c>
      <c r="T47" s="5" t="s">
        <v>3</v>
      </c>
      <c r="U47" s="5" t="s">
        <v>3</v>
      </c>
      <c r="V47" s="5" t="s">
        <v>3</v>
      </c>
    </row>
    <row r="48" spans="1:22" ht="81" customHeight="1" x14ac:dyDescent="0.3">
      <c r="A48" s="32"/>
      <c r="B48" s="33"/>
      <c r="C48" s="32" t="s">
        <v>138</v>
      </c>
      <c r="D48" s="44"/>
      <c r="E48" s="6" t="s">
        <v>148</v>
      </c>
      <c r="F48" s="6" t="s">
        <v>149</v>
      </c>
      <c r="G48" s="13">
        <v>8</v>
      </c>
      <c r="H48" s="9" t="s">
        <v>38</v>
      </c>
      <c r="I48" s="7" t="s">
        <v>154</v>
      </c>
      <c r="J48" s="13">
        <v>3</v>
      </c>
      <c r="K48" s="7" t="s">
        <v>92</v>
      </c>
      <c r="L48" s="7" t="s">
        <v>93</v>
      </c>
      <c r="M48" s="13">
        <v>3</v>
      </c>
      <c r="N48" s="5">
        <f t="shared" si="1"/>
        <v>72</v>
      </c>
      <c r="O48" s="5"/>
      <c r="P48" s="5"/>
      <c r="Q48" s="5"/>
      <c r="R48" s="5"/>
      <c r="S48" s="5"/>
      <c r="T48" s="5"/>
      <c r="U48" s="5"/>
      <c r="V48" s="5"/>
    </row>
    <row r="49" spans="1:22" ht="52.8" customHeight="1" x14ac:dyDescent="0.3">
      <c r="A49" s="32"/>
      <c r="B49" s="33"/>
      <c r="C49" s="32"/>
      <c r="D49" s="44"/>
      <c r="E49" s="22" t="s">
        <v>163</v>
      </c>
      <c r="F49" s="6" t="s">
        <v>164</v>
      </c>
      <c r="G49" s="13">
        <v>6</v>
      </c>
      <c r="H49" s="26" t="s">
        <v>39</v>
      </c>
      <c r="I49" s="7" t="s">
        <v>165</v>
      </c>
      <c r="J49" s="13">
        <v>3</v>
      </c>
      <c r="K49" s="7" t="s">
        <v>92</v>
      </c>
      <c r="L49" s="7" t="s">
        <v>93</v>
      </c>
      <c r="M49" s="13">
        <v>3</v>
      </c>
      <c r="N49" s="5">
        <f t="shared" si="1"/>
        <v>54</v>
      </c>
      <c r="O49" s="5"/>
      <c r="P49" s="5"/>
      <c r="Q49" s="5"/>
      <c r="R49" s="5"/>
      <c r="S49" s="5"/>
      <c r="T49" s="5"/>
      <c r="U49" s="5"/>
      <c r="V49" s="5"/>
    </row>
    <row r="50" spans="1:22" ht="45.6" x14ac:dyDescent="0.3">
      <c r="A50" s="32"/>
      <c r="B50" s="33"/>
      <c r="C50" s="7" t="s">
        <v>126</v>
      </c>
      <c r="D50" s="44"/>
      <c r="E50" s="22" t="s">
        <v>40</v>
      </c>
      <c r="F50" s="6" t="s">
        <v>75</v>
      </c>
      <c r="G50" s="13">
        <v>6</v>
      </c>
      <c r="H50" s="26" t="s">
        <v>39</v>
      </c>
      <c r="I50" s="7" t="s">
        <v>155</v>
      </c>
      <c r="J50" s="13">
        <v>3</v>
      </c>
      <c r="K50" s="7" t="s">
        <v>162</v>
      </c>
      <c r="L50" s="7" t="s">
        <v>93</v>
      </c>
      <c r="M50" s="13">
        <v>3</v>
      </c>
      <c r="N50" s="5">
        <f t="shared" si="1"/>
        <v>54</v>
      </c>
      <c r="O50" s="5" t="s">
        <v>3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</row>
    <row r="51" spans="1:22" ht="45.6" x14ac:dyDescent="0.3">
      <c r="A51" s="93">
        <v>11</v>
      </c>
      <c r="B51" s="92" t="s">
        <v>135</v>
      </c>
      <c r="C51" s="6" t="s">
        <v>139</v>
      </c>
      <c r="D51" s="44" t="s">
        <v>168</v>
      </c>
      <c r="E51" s="22" t="s">
        <v>144</v>
      </c>
      <c r="F51" s="6" t="s">
        <v>150</v>
      </c>
      <c r="G51" s="17">
        <v>6</v>
      </c>
      <c r="H51" s="26" t="s">
        <v>39</v>
      </c>
      <c r="I51" s="6" t="s">
        <v>156</v>
      </c>
      <c r="J51" s="13">
        <v>4</v>
      </c>
      <c r="K51" s="6" t="s">
        <v>161</v>
      </c>
      <c r="L51" s="6" t="s">
        <v>93</v>
      </c>
      <c r="M51" s="13">
        <v>3</v>
      </c>
      <c r="N51" s="5">
        <f t="shared" si="1"/>
        <v>72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</row>
    <row r="52" spans="1:22" ht="45.6" x14ac:dyDescent="0.3">
      <c r="A52" s="93"/>
      <c r="B52" s="92"/>
      <c r="C52" s="7" t="s">
        <v>140</v>
      </c>
      <c r="D52" s="44"/>
      <c r="E52" s="22" t="s">
        <v>40</v>
      </c>
      <c r="F52" s="6" t="s">
        <v>75</v>
      </c>
      <c r="G52" s="13">
        <v>6</v>
      </c>
      <c r="H52" s="26" t="s">
        <v>39</v>
      </c>
      <c r="I52" s="7" t="s">
        <v>157</v>
      </c>
      <c r="J52" s="13">
        <v>4</v>
      </c>
      <c r="K52" s="7" t="s">
        <v>161</v>
      </c>
      <c r="L52" s="7" t="s">
        <v>93</v>
      </c>
      <c r="M52" s="13">
        <v>3</v>
      </c>
      <c r="N52" s="5">
        <f t="shared" si="1"/>
        <v>72</v>
      </c>
      <c r="O52" s="5" t="s">
        <v>3</v>
      </c>
      <c r="P52" s="5" t="s">
        <v>3</v>
      </c>
      <c r="Q52" s="5" t="s">
        <v>3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</row>
    <row r="53" spans="1:22" ht="90" customHeight="1" x14ac:dyDescent="0.3">
      <c r="A53" s="93"/>
      <c r="B53" s="92"/>
      <c r="C53" s="27" t="s">
        <v>141</v>
      </c>
      <c r="D53" s="44"/>
      <c r="E53" s="6" t="s">
        <v>151</v>
      </c>
      <c r="F53" s="6" t="s">
        <v>145</v>
      </c>
      <c r="G53" s="17">
        <v>8</v>
      </c>
      <c r="H53" s="9" t="s">
        <v>38</v>
      </c>
      <c r="I53" s="6" t="s">
        <v>158</v>
      </c>
      <c r="J53" s="13">
        <v>4</v>
      </c>
      <c r="K53" s="6" t="s">
        <v>92</v>
      </c>
      <c r="L53" s="6" t="s">
        <v>93</v>
      </c>
      <c r="M53" s="13">
        <v>3</v>
      </c>
      <c r="N53" s="5">
        <f t="shared" si="1"/>
        <v>96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</row>
    <row r="54" spans="1:22" ht="85.8" customHeight="1" x14ac:dyDescent="0.3">
      <c r="A54" s="93"/>
      <c r="B54" s="92"/>
      <c r="C54" s="27" t="s">
        <v>142</v>
      </c>
      <c r="D54" s="44"/>
      <c r="E54" s="6" t="s">
        <v>146</v>
      </c>
      <c r="F54" s="6" t="s">
        <v>152</v>
      </c>
      <c r="G54" s="17">
        <v>7</v>
      </c>
      <c r="H54" s="9" t="s">
        <v>38</v>
      </c>
      <c r="I54" s="6" t="s">
        <v>159</v>
      </c>
      <c r="J54" s="13">
        <v>4</v>
      </c>
      <c r="K54" s="6" t="s">
        <v>92</v>
      </c>
      <c r="L54" s="6" t="s">
        <v>93</v>
      </c>
      <c r="M54" s="13">
        <v>3</v>
      </c>
      <c r="N54" s="5">
        <f t="shared" si="1"/>
        <v>84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</row>
    <row r="55" spans="1:22" ht="45.6" x14ac:dyDescent="0.3">
      <c r="A55" s="93"/>
      <c r="B55" s="92"/>
      <c r="C55" s="27" t="s">
        <v>143</v>
      </c>
      <c r="D55" s="44"/>
      <c r="E55" s="22" t="s">
        <v>147</v>
      </c>
      <c r="F55" s="6" t="s">
        <v>150</v>
      </c>
      <c r="G55" s="13">
        <v>6</v>
      </c>
      <c r="H55" s="26" t="s">
        <v>39</v>
      </c>
      <c r="I55" s="7" t="s">
        <v>160</v>
      </c>
      <c r="J55" s="13">
        <v>4</v>
      </c>
      <c r="K55" s="7" t="s">
        <v>161</v>
      </c>
      <c r="L55" s="7" t="s">
        <v>93</v>
      </c>
      <c r="M55" s="13">
        <v>3</v>
      </c>
      <c r="N55" s="5">
        <f t="shared" si="1"/>
        <v>72</v>
      </c>
      <c r="O55" s="5" t="s">
        <v>3</v>
      </c>
      <c r="P55" s="5" t="s">
        <v>3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</row>
    <row r="56" spans="1:22" ht="87" customHeight="1" x14ac:dyDescent="0.3">
      <c r="A56" s="93"/>
      <c r="B56" s="92"/>
      <c r="C56" s="27" t="s">
        <v>143</v>
      </c>
      <c r="D56" s="44"/>
      <c r="E56" s="6" t="s">
        <v>153</v>
      </c>
      <c r="F56" s="6" t="s">
        <v>150</v>
      </c>
      <c r="G56" s="13">
        <v>6</v>
      </c>
      <c r="H56" s="26" t="s">
        <v>39</v>
      </c>
      <c r="I56" s="7" t="s">
        <v>76</v>
      </c>
      <c r="J56" s="13">
        <v>4</v>
      </c>
      <c r="K56" s="7" t="s">
        <v>92</v>
      </c>
      <c r="L56" s="7" t="s">
        <v>93</v>
      </c>
      <c r="M56" s="13">
        <v>3</v>
      </c>
      <c r="N56" s="5">
        <f t="shared" si="1"/>
        <v>72</v>
      </c>
      <c r="O56" s="5" t="s">
        <v>3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3</v>
      </c>
      <c r="V56" s="5" t="s">
        <v>3</v>
      </c>
    </row>
    <row r="57" spans="1:22" ht="34.200000000000003" x14ac:dyDescent="0.3">
      <c r="A57" s="93">
        <v>1</v>
      </c>
      <c r="B57" s="92" t="s">
        <v>197</v>
      </c>
      <c r="C57" s="6" t="s">
        <v>170</v>
      </c>
      <c r="D57" s="44" t="s">
        <v>169</v>
      </c>
      <c r="E57" s="22" t="s">
        <v>175</v>
      </c>
      <c r="F57" s="6" t="s">
        <v>176</v>
      </c>
      <c r="G57" s="17">
        <v>8</v>
      </c>
      <c r="H57" s="9" t="s">
        <v>38</v>
      </c>
      <c r="I57" s="6" t="s">
        <v>177</v>
      </c>
      <c r="J57" s="13">
        <v>4</v>
      </c>
      <c r="K57" s="6" t="s">
        <v>183</v>
      </c>
      <c r="L57" s="6" t="s">
        <v>184</v>
      </c>
      <c r="M57" s="13">
        <v>3</v>
      </c>
      <c r="N57" s="5">
        <f t="shared" ref="N57:N61" si="2">G57*J57*M57</f>
        <v>96</v>
      </c>
      <c r="O57" s="5" t="s">
        <v>3</v>
      </c>
      <c r="P57" s="5" t="s">
        <v>3</v>
      </c>
      <c r="Q57" s="5" t="s">
        <v>3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</row>
    <row r="58" spans="1:22" ht="34.200000000000003" x14ac:dyDescent="0.3">
      <c r="A58" s="93"/>
      <c r="B58" s="92"/>
      <c r="C58" s="7" t="s">
        <v>173</v>
      </c>
      <c r="D58" s="44"/>
      <c r="E58" s="22" t="s">
        <v>189</v>
      </c>
      <c r="F58" s="6" t="s">
        <v>190</v>
      </c>
      <c r="G58" s="13">
        <v>8</v>
      </c>
      <c r="H58" s="26" t="s">
        <v>39</v>
      </c>
      <c r="I58" s="7" t="s">
        <v>191</v>
      </c>
      <c r="J58" s="13">
        <v>4</v>
      </c>
      <c r="K58" s="7" t="s">
        <v>192</v>
      </c>
      <c r="L58" s="6" t="s">
        <v>193</v>
      </c>
      <c r="M58" s="13">
        <v>3</v>
      </c>
      <c r="N58" s="5">
        <f t="shared" si="2"/>
        <v>96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</row>
    <row r="59" spans="1:22" ht="90" customHeight="1" x14ac:dyDescent="0.3">
      <c r="A59" s="93"/>
      <c r="B59" s="92"/>
      <c r="C59" s="27" t="s">
        <v>171</v>
      </c>
      <c r="D59" s="44"/>
      <c r="E59" s="6" t="s">
        <v>178</v>
      </c>
      <c r="F59" s="6" t="s">
        <v>179</v>
      </c>
      <c r="G59" s="17">
        <v>7</v>
      </c>
      <c r="H59" s="9" t="s">
        <v>38</v>
      </c>
      <c r="I59" s="6" t="s">
        <v>180</v>
      </c>
      <c r="J59" s="13">
        <v>4</v>
      </c>
      <c r="K59" s="6" t="s">
        <v>194</v>
      </c>
      <c r="L59" s="6" t="s">
        <v>184</v>
      </c>
      <c r="M59" s="13">
        <v>3</v>
      </c>
      <c r="N59" s="5">
        <f t="shared" si="2"/>
        <v>84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</row>
    <row r="60" spans="1:22" ht="85.8" customHeight="1" x14ac:dyDescent="0.3">
      <c r="A60" s="93"/>
      <c r="B60" s="92"/>
      <c r="C60" s="27" t="s">
        <v>172</v>
      </c>
      <c r="D60" s="44"/>
      <c r="E60" s="6" t="s">
        <v>181</v>
      </c>
      <c r="F60" s="6" t="s">
        <v>75</v>
      </c>
      <c r="G60" s="17">
        <v>7</v>
      </c>
      <c r="H60" s="9" t="s">
        <v>38</v>
      </c>
      <c r="I60" s="6" t="s">
        <v>182</v>
      </c>
      <c r="J60" s="13">
        <v>4</v>
      </c>
      <c r="K60" s="27" t="s">
        <v>195</v>
      </c>
      <c r="L60" s="6" t="s">
        <v>93</v>
      </c>
      <c r="M60" s="13">
        <v>3</v>
      </c>
      <c r="N60" s="5">
        <f t="shared" si="2"/>
        <v>84</v>
      </c>
      <c r="O60" s="5" t="s">
        <v>3</v>
      </c>
      <c r="P60" s="5" t="s">
        <v>3</v>
      </c>
      <c r="Q60" s="5" t="s">
        <v>3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</row>
    <row r="61" spans="1:22" ht="22.8" x14ac:dyDescent="0.3">
      <c r="A61" s="93"/>
      <c r="B61" s="92"/>
      <c r="C61" s="27" t="s">
        <v>174</v>
      </c>
      <c r="D61" s="44"/>
      <c r="E61" s="22" t="s">
        <v>185</v>
      </c>
      <c r="F61" s="6" t="s">
        <v>186</v>
      </c>
      <c r="G61" s="13">
        <v>7</v>
      </c>
      <c r="H61" s="26" t="s">
        <v>39</v>
      </c>
      <c r="I61" s="7" t="s">
        <v>187</v>
      </c>
      <c r="J61" s="13">
        <v>4</v>
      </c>
      <c r="K61" s="7" t="s">
        <v>188</v>
      </c>
      <c r="L61" s="6" t="s">
        <v>184</v>
      </c>
      <c r="M61" s="13">
        <v>3</v>
      </c>
      <c r="N61" s="5">
        <f t="shared" si="2"/>
        <v>84</v>
      </c>
      <c r="O61" s="5" t="s">
        <v>3</v>
      </c>
      <c r="P61" s="5" t="s">
        <v>3</v>
      </c>
      <c r="Q61" s="5" t="s">
        <v>3</v>
      </c>
      <c r="R61" s="5" t="s">
        <v>3</v>
      </c>
      <c r="S61" s="5" t="s">
        <v>3</v>
      </c>
      <c r="T61" s="5" t="s">
        <v>3</v>
      </c>
      <c r="U61" s="5" t="s">
        <v>3</v>
      </c>
      <c r="V61" s="5" t="s">
        <v>3</v>
      </c>
    </row>
    <row r="62" spans="1:22" ht="51.6" customHeight="1" x14ac:dyDescent="0.3">
      <c r="A62" s="93">
        <v>1</v>
      </c>
      <c r="B62" s="92" t="s">
        <v>196</v>
      </c>
      <c r="C62" s="6" t="s">
        <v>198</v>
      </c>
      <c r="D62" s="91" t="s">
        <v>207</v>
      </c>
      <c r="E62" s="22" t="s">
        <v>202</v>
      </c>
      <c r="F62" s="6" t="s">
        <v>199</v>
      </c>
      <c r="G62" s="17">
        <v>8</v>
      </c>
      <c r="H62" s="9" t="s">
        <v>38</v>
      </c>
      <c r="I62" s="6" t="s">
        <v>213</v>
      </c>
      <c r="J62" s="13">
        <v>3</v>
      </c>
      <c r="K62" s="6" t="s">
        <v>214</v>
      </c>
      <c r="L62" s="6" t="s">
        <v>93</v>
      </c>
      <c r="M62" s="13">
        <v>3</v>
      </c>
      <c r="N62" s="5">
        <f t="shared" ref="N62:N66" si="3">G62*J62*M62</f>
        <v>72</v>
      </c>
      <c r="O62" s="5" t="s">
        <v>3</v>
      </c>
      <c r="P62" s="5" t="s">
        <v>3</v>
      </c>
      <c r="Q62" s="5" t="s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</row>
    <row r="63" spans="1:22" ht="42" customHeight="1" x14ac:dyDescent="0.3">
      <c r="A63" s="93"/>
      <c r="B63" s="92"/>
      <c r="C63" s="7" t="s">
        <v>200</v>
      </c>
      <c r="D63" s="91"/>
      <c r="E63" s="22" t="s">
        <v>201</v>
      </c>
      <c r="F63" s="6" t="s">
        <v>203</v>
      </c>
      <c r="G63" s="13">
        <v>8</v>
      </c>
      <c r="H63" s="26" t="s">
        <v>39</v>
      </c>
      <c r="I63" s="6" t="s">
        <v>213</v>
      </c>
      <c r="J63" s="13">
        <v>3</v>
      </c>
      <c r="K63" s="7" t="s">
        <v>215</v>
      </c>
      <c r="L63" s="6" t="s">
        <v>93</v>
      </c>
      <c r="M63" s="13">
        <v>3</v>
      </c>
      <c r="N63" s="5">
        <f t="shared" si="3"/>
        <v>72</v>
      </c>
      <c r="O63" s="5" t="s">
        <v>3</v>
      </c>
      <c r="P63" s="5" t="s">
        <v>3</v>
      </c>
      <c r="Q63" s="5" t="s">
        <v>3</v>
      </c>
      <c r="R63" s="5" t="s">
        <v>3</v>
      </c>
      <c r="S63" s="5" t="s">
        <v>3</v>
      </c>
      <c r="T63" s="5" t="s">
        <v>3</v>
      </c>
      <c r="U63" s="5" t="s">
        <v>3</v>
      </c>
      <c r="V63" s="5" t="s">
        <v>3</v>
      </c>
    </row>
    <row r="64" spans="1:22" ht="90" customHeight="1" x14ac:dyDescent="0.3">
      <c r="A64" s="93"/>
      <c r="B64" s="92"/>
      <c r="C64" s="31" t="s">
        <v>204</v>
      </c>
      <c r="D64" s="91"/>
      <c r="E64" s="6" t="s">
        <v>205</v>
      </c>
      <c r="F64" s="6" t="s">
        <v>206</v>
      </c>
      <c r="G64" s="17">
        <v>8</v>
      </c>
      <c r="H64" s="9" t="s">
        <v>38</v>
      </c>
      <c r="I64" s="6" t="s">
        <v>213</v>
      </c>
      <c r="J64" s="13">
        <v>3</v>
      </c>
      <c r="K64" s="6" t="s">
        <v>215</v>
      </c>
      <c r="L64" s="6" t="s">
        <v>93</v>
      </c>
      <c r="M64" s="13">
        <v>3</v>
      </c>
      <c r="N64" s="5">
        <f t="shared" si="3"/>
        <v>72</v>
      </c>
      <c r="O64" s="5" t="s">
        <v>3</v>
      </c>
      <c r="P64" s="5" t="s">
        <v>3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</row>
    <row r="65" spans="1:22" ht="85.8" customHeight="1" x14ac:dyDescent="0.3">
      <c r="A65" s="93"/>
      <c r="B65" s="92"/>
      <c r="C65" s="31" t="s">
        <v>208</v>
      </c>
      <c r="D65" s="91"/>
      <c r="E65" s="6" t="s">
        <v>209</v>
      </c>
      <c r="F65" s="6" t="s">
        <v>210</v>
      </c>
      <c r="G65" s="17">
        <v>8</v>
      </c>
      <c r="H65" s="9" t="s">
        <v>38</v>
      </c>
      <c r="I65" s="6" t="s">
        <v>213</v>
      </c>
      <c r="J65" s="13">
        <v>3</v>
      </c>
      <c r="K65" s="31" t="s">
        <v>215</v>
      </c>
      <c r="L65" s="6" t="s">
        <v>93</v>
      </c>
      <c r="M65" s="13">
        <v>3</v>
      </c>
      <c r="N65" s="5">
        <f t="shared" si="3"/>
        <v>72</v>
      </c>
      <c r="O65" s="5" t="s">
        <v>3</v>
      </c>
      <c r="P65" s="5" t="s">
        <v>3</v>
      </c>
      <c r="Q65" s="5" t="s">
        <v>3</v>
      </c>
      <c r="R65" s="5" t="s">
        <v>3</v>
      </c>
      <c r="S65" s="5" t="s">
        <v>3</v>
      </c>
      <c r="T65" s="5" t="s">
        <v>3</v>
      </c>
      <c r="U65" s="5" t="s">
        <v>3</v>
      </c>
      <c r="V65" s="5" t="s">
        <v>3</v>
      </c>
    </row>
    <row r="66" spans="1:22" ht="33" customHeight="1" x14ac:dyDescent="0.3">
      <c r="A66" s="93"/>
      <c r="B66" s="92"/>
      <c r="C66" s="90" t="s">
        <v>211</v>
      </c>
      <c r="D66" s="91"/>
      <c r="E66" s="22" t="s">
        <v>217</v>
      </c>
      <c r="F66" s="6" t="s">
        <v>212</v>
      </c>
      <c r="G66" s="13">
        <v>6</v>
      </c>
      <c r="H66" s="26" t="s">
        <v>39</v>
      </c>
      <c r="I66" s="7" t="s">
        <v>218</v>
      </c>
      <c r="J66" s="13">
        <v>4</v>
      </c>
      <c r="K66" s="7" t="s">
        <v>220</v>
      </c>
      <c r="L66" s="6" t="s">
        <v>221</v>
      </c>
      <c r="M66" s="13">
        <v>3</v>
      </c>
      <c r="N66" s="5">
        <f t="shared" si="3"/>
        <v>72</v>
      </c>
      <c r="O66" s="5" t="s">
        <v>3</v>
      </c>
      <c r="P66" s="5" t="s">
        <v>3</v>
      </c>
      <c r="Q66" s="5" t="s">
        <v>3</v>
      </c>
      <c r="R66" s="5" t="s">
        <v>3</v>
      </c>
      <c r="S66" s="5" t="s">
        <v>3</v>
      </c>
      <c r="T66" s="5" t="s">
        <v>3</v>
      </c>
      <c r="U66" s="5" t="s">
        <v>3</v>
      </c>
      <c r="V66" s="5" t="s">
        <v>3</v>
      </c>
    </row>
    <row r="67" spans="1:22" ht="33" customHeight="1" x14ac:dyDescent="0.3">
      <c r="A67" s="93"/>
      <c r="B67" s="92"/>
      <c r="C67" s="90"/>
      <c r="D67" s="91"/>
      <c r="E67" s="22" t="s">
        <v>216</v>
      </c>
      <c r="F67" s="6" t="s">
        <v>212</v>
      </c>
      <c r="G67" s="13">
        <v>6</v>
      </c>
      <c r="H67" s="26" t="s">
        <v>39</v>
      </c>
      <c r="I67" s="7" t="s">
        <v>219</v>
      </c>
      <c r="J67" s="13">
        <v>4</v>
      </c>
      <c r="K67" s="7" t="s">
        <v>222</v>
      </c>
      <c r="L67" s="6" t="s">
        <v>221</v>
      </c>
      <c r="M67" s="13">
        <v>3</v>
      </c>
      <c r="N67" s="5">
        <f t="shared" ref="N67" si="4">G67*J67*M67</f>
        <v>72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</row>
    <row r="68" spans="1:22" ht="33" customHeight="1" x14ac:dyDescent="0.3">
      <c r="C68" s="27" t="s">
        <v>224</v>
      </c>
      <c r="E68" s="22" t="s">
        <v>227</v>
      </c>
      <c r="F68" s="6" t="s">
        <v>226</v>
      </c>
      <c r="G68" s="13">
        <v>6</v>
      </c>
      <c r="H68" s="26" t="s">
        <v>39</v>
      </c>
      <c r="I68" s="22" t="s">
        <v>225</v>
      </c>
      <c r="J68" s="13">
        <v>3</v>
      </c>
      <c r="K68" s="7" t="s">
        <v>228</v>
      </c>
      <c r="L68" s="6" t="s">
        <v>93</v>
      </c>
      <c r="M68" s="13">
        <v>3</v>
      </c>
      <c r="N68" s="5">
        <f t="shared" ref="N68" si="5">G68*J68*M68</f>
        <v>54</v>
      </c>
      <c r="O68" s="5" t="s">
        <v>3</v>
      </c>
      <c r="P68" s="5" t="s">
        <v>3</v>
      </c>
      <c r="Q68" s="5" t="s">
        <v>3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</row>
    <row r="69" spans="1:22" ht="33" customHeight="1" x14ac:dyDescent="0.3">
      <c r="C69" s="27" t="s">
        <v>229</v>
      </c>
      <c r="D69" s="27" t="s">
        <v>230</v>
      </c>
      <c r="E69" s="22" t="s">
        <v>189</v>
      </c>
      <c r="F69" s="6" t="s">
        <v>231</v>
      </c>
      <c r="G69" s="13">
        <v>6</v>
      </c>
      <c r="H69" s="26" t="s">
        <v>39</v>
      </c>
      <c r="I69" s="22" t="s">
        <v>232</v>
      </c>
      <c r="J69" s="13">
        <v>4</v>
      </c>
      <c r="K69" s="31" t="s">
        <v>215</v>
      </c>
      <c r="L69" s="6" t="s">
        <v>93</v>
      </c>
      <c r="M69" s="13">
        <v>4</v>
      </c>
      <c r="N69" s="5">
        <f t="shared" ref="N69" si="6">G69*J69*M69</f>
        <v>96</v>
      </c>
      <c r="O69" s="5" t="s">
        <v>3</v>
      </c>
      <c r="P69" s="5" t="s">
        <v>3</v>
      </c>
      <c r="Q69" s="5" t="s">
        <v>3</v>
      </c>
      <c r="R69" s="5" t="s">
        <v>3</v>
      </c>
      <c r="S69" s="5" t="s">
        <v>3</v>
      </c>
      <c r="T69" s="5" t="s">
        <v>3</v>
      </c>
      <c r="U69" s="5" t="s">
        <v>3</v>
      </c>
      <c r="V69" s="5" t="s">
        <v>3</v>
      </c>
    </row>
  </sheetData>
  <mergeCells count="146">
    <mergeCell ref="C66:C67"/>
    <mergeCell ref="D62:D67"/>
    <mergeCell ref="B62:B67"/>
    <mergeCell ref="A62:A67"/>
    <mergeCell ref="A57:A61"/>
    <mergeCell ref="B57:B61"/>
    <mergeCell ref="D11:D16"/>
    <mergeCell ref="D17:D22"/>
    <mergeCell ref="D27:D32"/>
    <mergeCell ref="D33:D36"/>
    <mergeCell ref="D37:D39"/>
    <mergeCell ref="D40:D41"/>
    <mergeCell ref="D42:D44"/>
    <mergeCell ref="D45:D46"/>
    <mergeCell ref="D47:D50"/>
    <mergeCell ref="D51:D56"/>
    <mergeCell ref="D57:D61"/>
    <mergeCell ref="A47:A50"/>
    <mergeCell ref="B47:B50"/>
    <mergeCell ref="B51:B56"/>
    <mergeCell ref="A51:A56"/>
    <mergeCell ref="C48:C49"/>
    <mergeCell ref="C27:C28"/>
    <mergeCell ref="A17:A22"/>
    <mergeCell ref="N33:N36"/>
    <mergeCell ref="B17:B22"/>
    <mergeCell ref="C17:C18"/>
    <mergeCell ref="C23:C24"/>
    <mergeCell ref="G33:G36"/>
    <mergeCell ref="A1:V1"/>
    <mergeCell ref="A2:V2"/>
    <mergeCell ref="A3:B3"/>
    <mergeCell ref="D3:F3"/>
    <mergeCell ref="G3:H3"/>
    <mergeCell ref="I3:N3"/>
    <mergeCell ref="O3:P3"/>
    <mergeCell ref="Q3:S3"/>
    <mergeCell ref="F12:F13"/>
    <mergeCell ref="N11:N13"/>
    <mergeCell ref="G11:G13"/>
    <mergeCell ref="K11:K13"/>
    <mergeCell ref="L11:L13"/>
    <mergeCell ref="H11:H13"/>
    <mergeCell ref="A4:B4"/>
    <mergeCell ref="D4:F4"/>
    <mergeCell ref="G4:H5"/>
    <mergeCell ref="I4:N4"/>
    <mergeCell ref="O4:P4"/>
    <mergeCell ref="Q4:S4"/>
    <mergeCell ref="A5:B5"/>
    <mergeCell ref="D5:F5"/>
    <mergeCell ref="I5:N5"/>
    <mergeCell ref="O5:P5"/>
    <mergeCell ref="A7:B7"/>
    <mergeCell ref="D7:F7"/>
    <mergeCell ref="G7:H7"/>
    <mergeCell ref="I7:N7"/>
    <mergeCell ref="O7:P7"/>
    <mergeCell ref="Q7:S7"/>
    <mergeCell ref="Q5:S5"/>
    <mergeCell ref="A6:B6"/>
    <mergeCell ref="D6:F6"/>
    <mergeCell ref="G6:H6"/>
    <mergeCell ref="I6:N6"/>
    <mergeCell ref="O6:P6"/>
    <mergeCell ref="Q6:S6"/>
    <mergeCell ref="P9:P10"/>
    <mergeCell ref="Q9:Q10"/>
    <mergeCell ref="R9:V9"/>
    <mergeCell ref="A11:A16"/>
    <mergeCell ref="B11:B16"/>
    <mergeCell ref="C11:C13"/>
    <mergeCell ref="E11:E13"/>
    <mergeCell ref="I11:I13"/>
    <mergeCell ref="J11:J13"/>
    <mergeCell ref="H9:H10"/>
    <mergeCell ref="I9:I10"/>
    <mergeCell ref="J9:J10"/>
    <mergeCell ref="K9:M9"/>
    <mergeCell ref="N9:N10"/>
    <mergeCell ref="O9:O10"/>
    <mergeCell ref="A9:A10"/>
    <mergeCell ref="B9:C10"/>
    <mergeCell ref="D9:D10"/>
    <mergeCell ref="E9:E10"/>
    <mergeCell ref="F9:F10"/>
    <mergeCell ref="G9:G10"/>
    <mergeCell ref="I14:I16"/>
    <mergeCell ref="G14:G16"/>
    <mergeCell ref="N21:N22"/>
    <mergeCell ref="J21:J22"/>
    <mergeCell ref="G21:G22"/>
    <mergeCell ref="M11:M13"/>
    <mergeCell ref="C14:C16"/>
    <mergeCell ref="J14:J16"/>
    <mergeCell ref="K14:K16"/>
    <mergeCell ref="L14:L16"/>
    <mergeCell ref="M14:M16"/>
    <mergeCell ref="N14:N16"/>
    <mergeCell ref="E14:E16"/>
    <mergeCell ref="C19:C20"/>
    <mergeCell ref="I21:I22"/>
    <mergeCell ref="F21:F22"/>
    <mergeCell ref="H21:H22"/>
    <mergeCell ref="K21:K22"/>
    <mergeCell ref="L21:L22"/>
    <mergeCell ref="M21:M22"/>
    <mergeCell ref="N25:N26"/>
    <mergeCell ref="J31:J32"/>
    <mergeCell ref="K31:K32"/>
    <mergeCell ref="L31:L32"/>
    <mergeCell ref="A23:A26"/>
    <mergeCell ref="B23:B26"/>
    <mergeCell ref="D23:D26"/>
    <mergeCell ref="M31:M32"/>
    <mergeCell ref="N31:N32"/>
    <mergeCell ref="A27:A32"/>
    <mergeCell ref="B27:B32"/>
    <mergeCell ref="F25:F26"/>
    <mergeCell ref="G25:G26"/>
    <mergeCell ref="H25:H26"/>
    <mergeCell ref="I25:I26"/>
    <mergeCell ref="J25:J26"/>
    <mergeCell ref="K25:K26"/>
    <mergeCell ref="L25:L26"/>
    <mergeCell ref="K27:K29"/>
    <mergeCell ref="L27:L29"/>
    <mergeCell ref="M33:M36"/>
    <mergeCell ref="J33:J36"/>
    <mergeCell ref="I31:I32"/>
    <mergeCell ref="A33:A36"/>
    <mergeCell ref="B33:B36"/>
    <mergeCell ref="F31:F32"/>
    <mergeCell ref="G31:G32"/>
    <mergeCell ref="H31:H32"/>
    <mergeCell ref="M25:M26"/>
    <mergeCell ref="A45:A46"/>
    <mergeCell ref="B45:B46"/>
    <mergeCell ref="K33:K36"/>
    <mergeCell ref="L33:L36"/>
    <mergeCell ref="A40:A41"/>
    <mergeCell ref="B40:B41"/>
    <mergeCell ref="A37:A39"/>
    <mergeCell ref="B37:B39"/>
    <mergeCell ref="A42:A44"/>
    <mergeCell ref="B42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Ramirez</dc:creator>
  <cp:lastModifiedBy>Rafael Ramirez</cp:lastModifiedBy>
  <dcterms:created xsi:type="dcterms:W3CDTF">2026-05-29T05:50:38Z</dcterms:created>
  <dcterms:modified xsi:type="dcterms:W3CDTF">2026-06-25T09:19:18Z</dcterms:modified>
</cp:coreProperties>
</file>