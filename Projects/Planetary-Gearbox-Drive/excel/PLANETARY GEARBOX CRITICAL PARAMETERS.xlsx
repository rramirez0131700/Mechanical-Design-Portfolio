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-PH-RAFAEL\Downloads\PLANETARY GEARBOX\"/>
    </mc:Choice>
  </mc:AlternateContent>
  <xr:revisionPtr revIDLastSave="0" documentId="13_ncr:1_{640D16FC-6611-46A7-9A03-9D0293959D92}" xr6:coauthVersionLast="47" xr6:coauthVersionMax="47" xr10:uidLastSave="{00000000-0000-0000-0000-000000000000}"/>
  <bookViews>
    <workbookView xWindow="-108" yWindow="-108" windowWidth="23256" windowHeight="12456" xr2:uid="{5FEAFDB1-3533-4500-AA8D-E47B292743BE}"/>
  </bookViews>
  <sheets>
    <sheet name="PLANETARY GEARBOX" sheetId="7" r:id="rId1"/>
  </sheets>
  <definedNames>
    <definedName name="_xlnm.Print_Area" localSheetId="0">'PLANETARY GEARBOX'!$A$1:$U$43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9" i="7" l="1"/>
  <c r="N13" i="7"/>
  <c r="N14" i="7"/>
  <c r="N15" i="7"/>
  <c r="N16" i="7"/>
  <c r="N17" i="7"/>
  <c r="N18" i="7"/>
  <c r="N20" i="7"/>
  <c r="N12" i="7"/>
  <c r="J19" i="7"/>
  <c r="J18" i="7"/>
  <c r="J17" i="7"/>
  <c r="J15" i="7"/>
  <c r="J14" i="7"/>
  <c r="J13" i="7"/>
  <c r="J12" i="7"/>
  <c r="P19" i="7"/>
  <c r="P20" i="7" s="1"/>
  <c r="P18" i="7"/>
  <c r="P17" i="7"/>
  <c r="P15" i="7"/>
  <c r="P14" i="7"/>
  <c r="P13" i="7"/>
  <c r="P12" i="7"/>
  <c r="G15" i="7"/>
  <c r="H15" i="7" s="1"/>
  <c r="G14" i="7"/>
  <c r="G13" i="7"/>
  <c r="G12" i="7"/>
  <c r="F19" i="7"/>
  <c r="F16" i="7"/>
  <c r="F17" i="7"/>
  <c r="F18" i="7"/>
  <c r="H12" i="7"/>
  <c r="H13" i="7" l="1"/>
  <c r="H14" i="7" s="1"/>
  <c r="G17" i="7"/>
  <c r="H17" i="7" s="1"/>
  <c r="O16" i="7"/>
  <c r="K15" i="7"/>
  <c r="G18" i="7"/>
  <c r="K14" i="7"/>
  <c r="F20" i="7"/>
  <c r="F15" i="7"/>
  <c r="F14" i="7"/>
  <c r="F13" i="7"/>
  <c r="F12" i="7"/>
  <c r="K17" i="7" l="1"/>
  <c r="L17" i="7" s="1"/>
  <c r="M17" i="7" s="1"/>
  <c r="L14" i="7"/>
  <c r="O17" i="7"/>
  <c r="H18" i="7"/>
  <c r="H20" i="7" s="1"/>
  <c r="E10" i="7" s="1"/>
  <c r="K18" i="7"/>
  <c r="L18" i="7" s="1"/>
  <c r="M18" i="7" s="1"/>
  <c r="O18" i="7"/>
  <c r="O19" i="7"/>
  <c r="E6" i="7" s="1"/>
  <c r="G20" i="7"/>
  <c r="L16" i="7"/>
  <c r="M16" i="7" s="1"/>
  <c r="L15" i="7"/>
  <c r="M15" i="7" s="1"/>
  <c r="O20" i="7"/>
  <c r="E7" i="7" s="1"/>
  <c r="J20" i="7" s="1"/>
  <c r="O12" i="7"/>
  <c r="O13" i="7"/>
  <c r="I12" i="7"/>
  <c r="I13" i="7" l="1"/>
  <c r="O14" i="7"/>
  <c r="I14" i="7" l="1"/>
  <c r="O15" i="7" l="1"/>
  <c r="I19" i="7" l="1"/>
  <c r="I20" i="7" l="1"/>
  <c r="K19" i="7" l="1"/>
  <c r="M14" i="7"/>
  <c r="K13" i="7"/>
  <c r="K12" i="7"/>
  <c r="L12" i="7" l="1"/>
  <c r="M12" i="7" s="1"/>
  <c r="L13" i="7"/>
  <c r="M13" i="7" s="1"/>
  <c r="L19" i="7"/>
  <c r="M19" i="7" s="1"/>
  <c r="K20" i="7"/>
  <c r="L20" i="7" l="1"/>
  <c r="M20" i="7" s="1"/>
  <c r="E9" i="7"/>
</calcChain>
</file>

<file path=xl/sharedStrings.xml><?xml version="1.0" encoding="utf-8"?>
<sst xmlns="http://schemas.openxmlformats.org/spreadsheetml/2006/main" count="60" uniqueCount="50">
  <si>
    <t>Motor Speed</t>
  </si>
  <si>
    <t>rpm</t>
  </si>
  <si>
    <t>kg-cm</t>
  </si>
  <si>
    <t>Path</t>
  </si>
  <si>
    <t>Gear #</t>
  </si>
  <si>
    <t>Part Number</t>
  </si>
  <si>
    <t>No. of Teeth</t>
  </si>
  <si>
    <t>Module</t>
  </si>
  <si>
    <t>Pitch Dia</t>
  </si>
  <si>
    <t>RPM</t>
  </si>
  <si>
    <t>Gear Ratio to Motor</t>
  </si>
  <si>
    <t>Torque
kg-cm</t>
  </si>
  <si>
    <t>Torque
mN-m</t>
  </si>
  <si>
    <t>GearTrain Eff</t>
  </si>
  <si>
    <t>Motor Pinion</t>
  </si>
  <si>
    <t>3</t>
  </si>
  <si>
    <t>Pinion</t>
  </si>
  <si>
    <t>Idler</t>
  </si>
  <si>
    <t>GR check</t>
  </si>
  <si>
    <t>Tangential force (N) @ motor  maximum eff. (0.55A)</t>
  </si>
  <si>
    <t>Tangential force (kgf) @ motor  maximum eff. (0.55A)</t>
  </si>
  <si>
    <t>N/A</t>
  </si>
  <si>
    <t>Belt/Pulley</t>
  </si>
  <si>
    <t>Sun Gear</t>
  </si>
  <si>
    <t>Idler Gear</t>
  </si>
  <si>
    <t>1st Stage carrier reduction</t>
  </si>
  <si>
    <t>2nd stage carrier reduction</t>
  </si>
  <si>
    <t>RING GEAR</t>
  </si>
  <si>
    <t>1st stage Planet Gears</t>
  </si>
  <si>
    <t>2nd stage Sun Gear</t>
  </si>
  <si>
    <t>2nd stage Ring Gear</t>
  </si>
  <si>
    <t>2nd stage Planet Gear</t>
  </si>
  <si>
    <t>Critical Bending force</t>
  </si>
  <si>
    <t>Unit</t>
  </si>
  <si>
    <t>Parameters</t>
  </si>
  <si>
    <t>Value</t>
  </si>
  <si>
    <t>SUMMARY OF CRITICAL POINTS</t>
  </si>
  <si>
    <t>kgf</t>
  </si>
  <si>
    <t>Output Speed</t>
  </si>
  <si>
    <t>Input torque</t>
  </si>
  <si>
    <t>Mesh Efficiency</t>
  </si>
  <si>
    <t>Input Parameters</t>
  </si>
  <si>
    <t>2-STAGE PLANETARY GEAR DRIVE</t>
  </si>
  <si>
    <t>%</t>
  </si>
  <si>
    <t>Output Efficiency</t>
  </si>
  <si>
    <t>Output Torque</t>
  </si>
  <si>
    <t>N-mm</t>
  </si>
  <si>
    <t>Tangential force (N) @ motor  Stall (1.4A)</t>
  </si>
  <si>
    <t>Tangential force (kgf) @ motor  Stall (1.4A)</t>
  </si>
  <si>
    <t xml:space="preserve"> Output Pushing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</si>
</sst>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9" fontId="0" fillId="2" borderId="1" xfId="2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5" fontId="3" fillId="0" borderId="1" xfId="0" applyNumberFormat="1" applyFont="1" applyBorder="1" applyAlignment="1">
      <alignment horizontal="center" vertical="center"/>
    </xf>
    <xf numFmtId="9" fontId="3" fillId="0" borderId="1" xfId="2" applyFont="1" applyBorder="1" applyAlignment="1">
      <alignment horizontal="center"/>
    </xf>
    <xf numFmtId="43" fontId="3" fillId="0" borderId="1" xfId="1" applyFont="1" applyBorder="1" applyAlignment="1">
      <alignment vertical="center"/>
    </xf>
    <xf numFmtId="165" fontId="3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491067</xdr:colOff>
      <xdr:row>10</xdr:row>
      <xdr:rowOff>254001</xdr:rowOff>
    </xdr:from>
    <xdr:to>
      <xdr:col>21</xdr:col>
      <xdr:colOff>304800</xdr:colOff>
      <xdr:row>11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B8873E-6996-410F-A98F-75931E15C2E1}"/>
            </a:ext>
          </a:extLst>
        </xdr:cNvPr>
        <xdr:cNvSpPr txBox="1"/>
      </xdr:nvSpPr>
      <xdr:spPr>
        <a:xfrm>
          <a:off x="13231707" y="1168401"/>
          <a:ext cx="423333" cy="1079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38100</xdr:colOff>
      <xdr:row>20</xdr:row>
      <xdr:rowOff>91017</xdr:rowOff>
    </xdr:from>
    <xdr:to>
      <xdr:col>24</xdr:col>
      <xdr:colOff>461434</xdr:colOff>
      <xdr:row>21</xdr:row>
      <xdr:rowOff>116417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B68C830-1800-4B5C-9A1F-E6124F9E1848}"/>
            </a:ext>
          </a:extLst>
        </xdr:cNvPr>
        <xdr:cNvSpPr txBox="1"/>
      </xdr:nvSpPr>
      <xdr:spPr>
        <a:xfrm>
          <a:off x="15217140" y="4030557"/>
          <a:ext cx="423334" cy="391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139700</xdr:colOff>
      <xdr:row>26</xdr:row>
      <xdr:rowOff>40218</xdr:rowOff>
    </xdr:from>
    <xdr:to>
      <xdr:col>23</xdr:col>
      <xdr:colOff>563034</xdr:colOff>
      <xdr:row>28</xdr:row>
      <xdr:rowOff>65617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0F624A0-03D1-4463-B37D-CA219B26ED32}"/>
            </a:ext>
          </a:extLst>
        </xdr:cNvPr>
        <xdr:cNvSpPr txBox="1"/>
      </xdr:nvSpPr>
      <xdr:spPr>
        <a:xfrm>
          <a:off x="14709140" y="5259918"/>
          <a:ext cx="423334" cy="3911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129540</xdr:colOff>
      <xdr:row>20</xdr:row>
      <xdr:rowOff>163405</xdr:rowOff>
    </xdr:from>
    <xdr:to>
      <xdr:col>7</xdr:col>
      <xdr:colOff>171959</xdr:colOff>
      <xdr:row>41</xdr:row>
      <xdr:rowOff>44838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D2B86B6-8104-4C40-915E-4B96B52DA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" y="4468705"/>
          <a:ext cx="7205219" cy="3721913"/>
        </a:xfrm>
        <a:prstGeom prst="rect">
          <a:avLst/>
        </a:prstGeom>
      </xdr:spPr>
    </xdr:pic>
    <xdr:clientData/>
  </xdr:twoCellAnchor>
  <xdr:twoCellAnchor editAs="oneCell">
    <xdr:from>
      <xdr:col>16</xdr:col>
      <xdr:colOff>89648</xdr:colOff>
      <xdr:row>3</xdr:row>
      <xdr:rowOff>161365</xdr:rowOff>
    </xdr:from>
    <xdr:to>
      <xdr:col>20</xdr:col>
      <xdr:colOff>26895</xdr:colOff>
      <xdr:row>20</xdr:row>
      <xdr:rowOff>26895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A3B8E0-ADB8-1351-650A-8FDFF5ED84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7126" t="3601" r="5694" b="5716"/>
        <a:stretch>
          <a:fillRect/>
        </a:stretch>
      </xdr:blipFill>
      <xdr:spPr>
        <a:xfrm>
          <a:off x="12389224" y="699247"/>
          <a:ext cx="2375647" cy="39175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7271-17B3-4FED-B51E-B33B6A60C843}">
  <sheetPr>
    <pageSetUpPr fitToPage="1"/>
  </sheetPr>
  <dimension ref="A1:Q22"/>
  <sheetViews>
    <sheetView tabSelected="1" zoomScale="55" zoomScaleNormal="55" workbookViewId="0">
      <selection activeCell="AC5" sqref="AC5:AC6"/>
    </sheetView>
  </sheetViews>
  <sheetFormatPr defaultRowHeight="14.4" x14ac:dyDescent="0.3"/>
  <cols>
    <col min="1" max="1" width="23.109375" style="5" bestFit="1" customWidth="1"/>
    <col min="2" max="2" width="10.33203125" style="5" customWidth="1"/>
    <col min="3" max="3" width="23.88671875" style="5" customWidth="1"/>
    <col min="4" max="4" width="18.5546875" style="5" bestFit="1" customWidth="1"/>
    <col min="5" max="5" width="10.33203125" style="5" customWidth="1"/>
    <col min="6" max="6" width="8.88671875" style="5"/>
    <col min="7" max="7" width="9.33203125" style="5" customWidth="1"/>
    <col min="8" max="8" width="9.44140625" style="5" customWidth="1"/>
    <col min="9" max="9" width="13" style="5" hidden="1" customWidth="1"/>
    <col min="10" max="11" width="8.88671875" style="5"/>
    <col min="12" max="12" width="10.33203125" style="5" customWidth="1"/>
    <col min="13" max="13" width="10.6640625" style="5" customWidth="1"/>
    <col min="14" max="14" width="10" style="5" customWidth="1"/>
    <col min="15" max="15" width="9.77734375" style="5" customWidth="1"/>
    <col min="16" max="16" width="6.77734375" style="5" customWidth="1"/>
    <col min="17" max="16384" width="8.88671875" style="5"/>
  </cols>
  <sheetData>
    <row r="1" spans="1:16" x14ac:dyDescent="0.3">
      <c r="A1" s="28" t="s">
        <v>42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16" x14ac:dyDescent="0.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16" x14ac:dyDescent="0.3">
      <c r="A4" s="33" t="s">
        <v>41</v>
      </c>
      <c r="B4" s="33"/>
      <c r="C4" s="34"/>
      <c r="D4" s="35" t="s">
        <v>36</v>
      </c>
      <c r="E4" s="35"/>
      <c r="F4" s="35"/>
      <c r="G4"/>
      <c r="H4" s="1"/>
      <c r="I4" s="1"/>
      <c r="J4"/>
      <c r="K4"/>
      <c r="L4"/>
      <c r="N4"/>
      <c r="O4"/>
      <c r="P4"/>
    </row>
    <row r="5" spans="1:16" x14ac:dyDescent="0.3">
      <c r="A5" s="6" t="s">
        <v>34</v>
      </c>
      <c r="B5" s="4" t="s">
        <v>35</v>
      </c>
      <c r="C5" s="22" t="s">
        <v>33</v>
      </c>
      <c r="D5" s="6" t="s">
        <v>34</v>
      </c>
      <c r="E5" s="4" t="s">
        <v>35</v>
      </c>
      <c r="F5" s="4" t="s">
        <v>33</v>
      </c>
      <c r="G5"/>
      <c r="H5" s="1"/>
      <c r="I5" s="1"/>
      <c r="J5"/>
      <c r="K5"/>
      <c r="L5"/>
      <c r="N5"/>
      <c r="O5"/>
      <c r="P5"/>
    </row>
    <row r="6" spans="1:16" x14ac:dyDescent="0.3">
      <c r="A6" s="17" t="s">
        <v>0</v>
      </c>
      <c r="B6" s="18">
        <v>7412</v>
      </c>
      <c r="C6" s="22" t="s">
        <v>1</v>
      </c>
      <c r="D6" s="6" t="s">
        <v>32</v>
      </c>
      <c r="E6" s="20">
        <f>MAX(O12:O19)</f>
        <v>7.0430178179620988</v>
      </c>
      <c r="F6" s="4" t="s">
        <v>37</v>
      </c>
      <c r="G6"/>
      <c r="H6" s="1"/>
      <c r="I6" s="1"/>
      <c r="J6"/>
      <c r="K6"/>
      <c r="L6"/>
      <c r="N6"/>
      <c r="O6"/>
      <c r="P6"/>
    </row>
    <row r="7" spans="1:16" x14ac:dyDescent="0.3">
      <c r="A7" s="6" t="s">
        <v>40</v>
      </c>
      <c r="B7" s="19">
        <v>0.98</v>
      </c>
      <c r="C7" s="22" t="s">
        <v>43</v>
      </c>
      <c r="D7" s="6" t="s">
        <v>49</v>
      </c>
      <c r="E7" s="20">
        <f>O20</f>
        <v>11.44490395418841</v>
      </c>
      <c r="F7" s="4" t="s">
        <v>37</v>
      </c>
      <c r="G7"/>
      <c r="H7" s="1"/>
      <c r="I7" s="1"/>
      <c r="J7"/>
      <c r="K7"/>
      <c r="L7"/>
      <c r="N7"/>
      <c r="O7"/>
      <c r="P7"/>
    </row>
    <row r="8" spans="1:16" x14ac:dyDescent="0.3">
      <c r="A8" s="6" t="s">
        <v>39</v>
      </c>
      <c r="B8" s="18">
        <v>0.113</v>
      </c>
      <c r="C8" s="22" t="s">
        <v>2</v>
      </c>
      <c r="D8" s="6" t="s">
        <v>44</v>
      </c>
      <c r="E8" s="24">
        <v>0.87</v>
      </c>
      <c r="F8" s="4" t="s">
        <v>43</v>
      </c>
      <c r="G8"/>
      <c r="H8" s="1"/>
      <c r="I8" s="1"/>
      <c r="J8"/>
      <c r="K8"/>
      <c r="L8"/>
      <c r="N8"/>
      <c r="O8"/>
      <c r="P8"/>
    </row>
    <row r="9" spans="1:16" x14ac:dyDescent="0.3">
      <c r="B9" s="21"/>
      <c r="C9" s="1"/>
      <c r="D9" s="6" t="s">
        <v>45</v>
      </c>
      <c r="E9" s="25">
        <f>K20</f>
        <v>143.12493797519338</v>
      </c>
      <c r="F9" s="4" t="s">
        <v>46</v>
      </c>
      <c r="G9"/>
      <c r="H9" s="1"/>
      <c r="I9" s="1"/>
      <c r="J9"/>
      <c r="K9"/>
      <c r="L9"/>
      <c r="N9"/>
      <c r="O9"/>
      <c r="P9"/>
    </row>
    <row r="10" spans="1:16" x14ac:dyDescent="0.3">
      <c r="B10" s="1"/>
      <c r="C10" s="1"/>
      <c r="D10" s="6" t="s">
        <v>38</v>
      </c>
      <c r="E10" s="26">
        <f>H20</f>
        <v>498.20027434842245</v>
      </c>
      <c r="F10" s="4" t="s">
        <v>9</v>
      </c>
      <c r="G10"/>
      <c r="H10"/>
      <c r="I10"/>
      <c r="J10"/>
      <c r="K10"/>
      <c r="L10"/>
      <c r="N10"/>
      <c r="O10"/>
      <c r="P10"/>
    </row>
    <row r="11" spans="1:16" s="3" customFormat="1" ht="93" customHeight="1" x14ac:dyDescent="0.3">
      <c r="A11" s="2" t="s">
        <v>3</v>
      </c>
      <c r="B11" s="2" t="s">
        <v>4</v>
      </c>
      <c r="C11" s="2" t="s">
        <v>5</v>
      </c>
      <c r="D11" s="2" t="s">
        <v>6</v>
      </c>
      <c r="E11" s="2" t="s">
        <v>7</v>
      </c>
      <c r="F11" s="2" t="s">
        <v>8</v>
      </c>
      <c r="G11" s="2" t="s">
        <v>10</v>
      </c>
      <c r="H11" s="2" t="s">
        <v>9</v>
      </c>
      <c r="I11" s="2" t="s">
        <v>18</v>
      </c>
      <c r="J11" s="2" t="s">
        <v>11</v>
      </c>
      <c r="K11" s="2" t="s">
        <v>12</v>
      </c>
      <c r="L11" s="2" t="s">
        <v>19</v>
      </c>
      <c r="M11" s="2" t="s">
        <v>20</v>
      </c>
      <c r="N11" s="27" t="s">
        <v>47</v>
      </c>
      <c r="O11" s="27" t="s">
        <v>48</v>
      </c>
      <c r="P11" s="2" t="s">
        <v>13</v>
      </c>
    </row>
    <row r="12" spans="1:16" x14ac:dyDescent="0.3">
      <c r="A12" s="6" t="s">
        <v>14</v>
      </c>
      <c r="B12" s="6">
        <v>1</v>
      </c>
      <c r="C12" s="6" t="s">
        <v>16</v>
      </c>
      <c r="D12" s="14">
        <v>14</v>
      </c>
      <c r="E12" s="14">
        <v>1</v>
      </c>
      <c r="F12" s="14">
        <f>E12*D12</f>
        <v>14</v>
      </c>
      <c r="G12" s="7">
        <f>1</f>
        <v>1</v>
      </c>
      <c r="H12" s="7">
        <f>B6</f>
        <v>7412</v>
      </c>
      <c r="I12" s="7" t="e">
        <f>$E$5/G12</f>
        <v>#VALUE!</v>
      </c>
      <c r="J12" s="8">
        <f>B8</f>
        <v>0.113</v>
      </c>
      <c r="K12" s="8">
        <f>J12*98.067</f>
        <v>11.081571</v>
      </c>
      <c r="L12" s="8">
        <f>(K12/F12)*2</f>
        <v>1.5830815714285715</v>
      </c>
      <c r="M12" s="8">
        <f>L12/9.81</f>
        <v>0.16137426823940584</v>
      </c>
      <c r="N12" s="8">
        <f>((24.837*1.4*G12)/(F12/2))*P12</f>
        <v>4.9673999999999996</v>
      </c>
      <c r="O12" s="8">
        <f>N12/9.81</f>
        <v>0.50636085626911309</v>
      </c>
      <c r="P12" s="9">
        <f>B7^(B12-1)</f>
        <v>1</v>
      </c>
    </row>
    <row r="13" spans="1:16" x14ac:dyDescent="0.3">
      <c r="A13" s="6" t="s">
        <v>24</v>
      </c>
      <c r="B13" s="6">
        <v>2</v>
      </c>
      <c r="C13" s="6" t="s">
        <v>17</v>
      </c>
      <c r="D13" s="14">
        <v>14</v>
      </c>
      <c r="E13" s="14">
        <v>1</v>
      </c>
      <c r="F13" s="14">
        <f t="shared" ref="F13:F19" si="0">E13*D13</f>
        <v>14</v>
      </c>
      <c r="G13" s="7">
        <f>D12/D13</f>
        <v>1</v>
      </c>
      <c r="H13" s="7">
        <f>H12/G13</f>
        <v>7412</v>
      </c>
      <c r="I13" s="7" t="e">
        <f t="shared" ref="I13:I19" si="1">$E$5/G13</f>
        <v>#VALUE!</v>
      </c>
      <c r="J13" s="8">
        <f>B8*G13*P13</f>
        <v>0.11074000000000001</v>
      </c>
      <c r="K13" s="8">
        <f t="shared" ref="K13:K19" si="2">J13*98.067</f>
        <v>10.859939579999999</v>
      </c>
      <c r="L13" s="8">
        <f>(K13/F13)*2</f>
        <v>1.5514199399999999</v>
      </c>
      <c r="M13" s="8">
        <f t="shared" ref="M13:M14" si="3">L13/9.81</f>
        <v>0.15814678287461773</v>
      </c>
      <c r="N13" s="8">
        <f t="shared" ref="N13:N20" si="4">((24.837*1.4*G13)/(F13/2))*P13</f>
        <v>4.8680519999999996</v>
      </c>
      <c r="O13" s="8">
        <f t="shared" ref="O13:O20" si="5">N13/9.81</f>
        <v>0.49623363914373081</v>
      </c>
      <c r="P13" s="9">
        <f>B7^(B13-1)</f>
        <v>0.98</v>
      </c>
    </row>
    <row r="14" spans="1:16" x14ac:dyDescent="0.3">
      <c r="A14" s="6" t="s">
        <v>23</v>
      </c>
      <c r="B14" s="10" t="s">
        <v>15</v>
      </c>
      <c r="C14" s="6" t="s">
        <v>23</v>
      </c>
      <c r="D14" s="14">
        <v>14</v>
      </c>
      <c r="E14" s="14">
        <v>1</v>
      </c>
      <c r="F14" s="14">
        <f t="shared" si="0"/>
        <v>14</v>
      </c>
      <c r="G14" s="7">
        <f>D13/D14</f>
        <v>1</v>
      </c>
      <c r="H14" s="7">
        <f>H13/G14</f>
        <v>7412</v>
      </c>
      <c r="I14" s="7" t="e">
        <f t="shared" si="1"/>
        <v>#VALUE!</v>
      </c>
      <c r="J14" s="8">
        <f>B8*G14*P14</f>
        <v>0.10852519999999999</v>
      </c>
      <c r="K14" s="8">
        <f>J14*98.067</f>
        <v>10.642740788399998</v>
      </c>
      <c r="L14" s="8">
        <f>(K14/F14)*2</f>
        <v>1.5203915411999998</v>
      </c>
      <c r="M14" s="8">
        <f t="shared" si="3"/>
        <v>0.15498384721712535</v>
      </c>
      <c r="N14" s="8">
        <f t="shared" si="4"/>
        <v>4.7706909599999996</v>
      </c>
      <c r="O14" s="8">
        <f t="shared" si="5"/>
        <v>0.48630896636085619</v>
      </c>
      <c r="P14" s="9">
        <f>B7^(B14-1)</f>
        <v>0.96039999999999992</v>
      </c>
    </row>
    <row r="15" spans="1:16" x14ac:dyDescent="0.3">
      <c r="A15" s="31" t="s">
        <v>25</v>
      </c>
      <c r="B15" s="6">
        <v>4</v>
      </c>
      <c r="C15" s="6" t="s">
        <v>27</v>
      </c>
      <c r="D15" s="14">
        <v>40</v>
      </c>
      <c r="E15" s="14">
        <v>1</v>
      </c>
      <c r="F15" s="14">
        <f t="shared" si="0"/>
        <v>40</v>
      </c>
      <c r="G15" s="29">
        <f>(D14+D15)/D14</f>
        <v>3.8571428571428572</v>
      </c>
      <c r="H15" s="29">
        <f>B6/G15</f>
        <v>1921.6296296296296</v>
      </c>
      <c r="I15" s="7"/>
      <c r="J15" s="30">
        <f>B8*G15*P15</f>
        <v>0.41022525599999998</v>
      </c>
      <c r="K15" s="30">
        <f>J15*98.067</f>
        <v>40.229560180151992</v>
      </c>
      <c r="L15" s="8">
        <f>(K15/F15)*2</f>
        <v>2.0114780090075994</v>
      </c>
      <c r="M15" s="8">
        <f>L15/9.81</f>
        <v>0.2050436298682568</v>
      </c>
      <c r="N15" s="8">
        <f t="shared" si="4"/>
        <v>6.3116241400799993</v>
      </c>
      <c r="O15" s="8">
        <f t="shared" si="5"/>
        <v>0.64338676249541271</v>
      </c>
      <c r="P15" s="32">
        <f>B7^(B15-1)</f>
        <v>0.94119199999999992</v>
      </c>
    </row>
    <row r="16" spans="1:16" x14ac:dyDescent="0.3">
      <c r="A16" s="31"/>
      <c r="B16" s="6">
        <v>5</v>
      </c>
      <c r="C16" s="6" t="s">
        <v>28</v>
      </c>
      <c r="D16" s="14">
        <v>13</v>
      </c>
      <c r="E16" s="14">
        <v>1</v>
      </c>
      <c r="F16" s="14">
        <f t="shared" si="0"/>
        <v>13</v>
      </c>
      <c r="G16" s="29"/>
      <c r="H16" s="29"/>
      <c r="I16" s="7"/>
      <c r="J16" s="30"/>
      <c r="K16" s="30"/>
      <c r="L16" s="8">
        <f>((K15/F16)*2)</f>
        <v>6.1891631046387676</v>
      </c>
      <c r="M16" s="8">
        <f>L16/9.81</f>
        <v>0.63090347651771328</v>
      </c>
      <c r="N16" s="8">
        <f t="shared" si="4"/>
        <v>0</v>
      </c>
      <c r="O16" s="8">
        <f t="shared" si="5"/>
        <v>0</v>
      </c>
      <c r="P16" s="32"/>
    </row>
    <row r="17" spans="1:17" x14ac:dyDescent="0.3">
      <c r="A17" s="16" t="s">
        <v>29</v>
      </c>
      <c r="B17" s="6">
        <v>6</v>
      </c>
      <c r="C17" s="6" t="s">
        <v>29</v>
      </c>
      <c r="D17" s="14">
        <v>14</v>
      </c>
      <c r="E17" s="14">
        <v>1</v>
      </c>
      <c r="F17" s="14">
        <f t="shared" si="0"/>
        <v>14</v>
      </c>
      <c r="G17" s="7">
        <f>G15</f>
        <v>3.8571428571428572</v>
      </c>
      <c r="H17" s="7">
        <f>B6/G17</f>
        <v>1921.6296296296296</v>
      </c>
      <c r="I17" s="7"/>
      <c r="J17" s="8">
        <f>B8*G17*P17</f>
        <v>0.39398033586239994</v>
      </c>
      <c r="K17" s="8">
        <f>J17*98.067</f>
        <v>38.636469597017971</v>
      </c>
      <c r="L17" s="8">
        <f>(K17/F17)*2</f>
        <v>5.5194956567168534</v>
      </c>
      <c r="M17" s="8">
        <f>L17/9.81</f>
        <v>0.56263972035849674</v>
      </c>
      <c r="N17" s="8">
        <f t="shared" si="4"/>
        <v>17.319096640379517</v>
      </c>
      <c r="O17" s="8">
        <f t="shared" si="5"/>
        <v>1.7654532762874124</v>
      </c>
      <c r="P17" s="9">
        <f>B7^(B17-1)</f>
        <v>0.90392079679999982</v>
      </c>
    </row>
    <row r="18" spans="1:17" x14ac:dyDescent="0.3">
      <c r="A18" s="31" t="s">
        <v>26</v>
      </c>
      <c r="B18" s="6">
        <v>7</v>
      </c>
      <c r="C18" s="6" t="s">
        <v>30</v>
      </c>
      <c r="D18" s="14">
        <v>40</v>
      </c>
      <c r="E18" s="14">
        <v>1</v>
      </c>
      <c r="F18" s="14">
        <f t="shared" si="0"/>
        <v>40</v>
      </c>
      <c r="G18" s="30">
        <f>G17*((D18+D17)/(D17))</f>
        <v>14.877551020408164</v>
      </c>
      <c r="H18" s="29">
        <f>B6/G18</f>
        <v>498.20027434842245</v>
      </c>
      <c r="I18" s="7"/>
      <c r="J18" s="8">
        <f>B8*G18*P18</f>
        <v>1.4892456695598717</v>
      </c>
      <c r="K18" s="8">
        <f>J18*98.067</f>
        <v>146.04585507672792</v>
      </c>
      <c r="L18" s="8">
        <f>(K18/F18)*2</f>
        <v>7.3022927538363955</v>
      </c>
      <c r="M18" s="8">
        <f t="shared" ref="M18:M19" si="6">L18/9.81</f>
        <v>0.74437235003429103</v>
      </c>
      <c r="N18" s="8">
        <f t="shared" si="4"/>
        <v>22.913164855222103</v>
      </c>
      <c r="O18" s="8">
        <f t="shared" si="5"/>
        <v>2.3356946845282467</v>
      </c>
      <c r="P18" s="9">
        <f>B7^(B18-1)</f>
        <v>0.8858423808639998</v>
      </c>
    </row>
    <row r="19" spans="1:17" x14ac:dyDescent="0.3">
      <c r="A19" s="31"/>
      <c r="B19" s="6">
        <v>8</v>
      </c>
      <c r="C19" s="6" t="s">
        <v>31</v>
      </c>
      <c r="D19" s="14">
        <v>13</v>
      </c>
      <c r="E19" s="14">
        <v>1</v>
      </c>
      <c r="F19" s="14">
        <f t="shared" si="0"/>
        <v>13</v>
      </c>
      <c r="G19" s="30"/>
      <c r="H19" s="29"/>
      <c r="I19" s="7" t="e">
        <f t="shared" si="1"/>
        <v>#VALUE!</v>
      </c>
      <c r="J19" s="8">
        <f>B8*G18*P19</f>
        <v>1.4594607561686743</v>
      </c>
      <c r="K19" s="8">
        <f t="shared" si="2"/>
        <v>143.12493797519338</v>
      </c>
      <c r="L19" s="8">
        <f>((K19/F19)*2)</f>
        <v>22.019221226952826</v>
      </c>
      <c r="M19" s="8">
        <f t="shared" si="6"/>
        <v>2.2445689324110933</v>
      </c>
      <c r="N19" s="8">
        <f>((24.837*1.4*G18)/(F19/2))*P19</f>
        <v>69.092004794208194</v>
      </c>
      <c r="O19" s="13">
        <f t="shared" si="5"/>
        <v>7.0430178179620988</v>
      </c>
      <c r="P19" s="9">
        <f>B7^(B19-1)</f>
        <v>0.86812553324671982</v>
      </c>
    </row>
    <row r="20" spans="1:17" x14ac:dyDescent="0.3">
      <c r="A20" s="6" t="s">
        <v>22</v>
      </c>
      <c r="B20" s="6">
        <v>9</v>
      </c>
      <c r="C20" s="6" t="s">
        <v>22</v>
      </c>
      <c r="D20" s="17" t="s">
        <v>21</v>
      </c>
      <c r="E20" s="17" t="s">
        <v>21</v>
      </c>
      <c r="F20" s="17">
        <f>8</f>
        <v>8</v>
      </c>
      <c r="G20" s="13">
        <f>G18</f>
        <v>14.877551020408164</v>
      </c>
      <c r="H20" s="23">
        <f>H18</f>
        <v>498.20027434842245</v>
      </c>
      <c r="I20" s="9" t="e">
        <f>#REF!</f>
        <v>#REF!</v>
      </c>
      <c r="J20" s="8">
        <f t="shared" ref="J20" si="7">$E$7*G20*P20</f>
        <v>147.81759450670501</v>
      </c>
      <c r="K20" s="13">
        <f>K19</f>
        <v>143.12493797519338</v>
      </c>
      <c r="L20" s="8">
        <f>(K20/F20)*2</f>
        <v>35.781234493798344</v>
      </c>
      <c r="M20" s="8">
        <f>L20/9.81</f>
        <v>3.6474245151680269</v>
      </c>
      <c r="N20" s="8">
        <f t="shared" si="4"/>
        <v>112.2745077905883</v>
      </c>
      <c r="O20" s="13">
        <f t="shared" si="5"/>
        <v>11.44490395418841</v>
      </c>
      <c r="P20" s="9">
        <f>P19</f>
        <v>0.86812553324671982</v>
      </c>
    </row>
    <row r="21" spans="1:17" x14ac:dyDescent="0.3">
      <c r="K21" s="11"/>
      <c r="L21" s="12"/>
      <c r="M21" s="12"/>
      <c r="N21" s="12"/>
      <c r="O21" s="12"/>
      <c r="P21" s="11"/>
    </row>
    <row r="22" spans="1:17" x14ac:dyDescent="0.3">
      <c r="Q22" s="15"/>
    </row>
  </sheetData>
  <mergeCells count="12">
    <mergeCell ref="A18:A19"/>
    <mergeCell ref="G18:G19"/>
    <mergeCell ref="H18:H19"/>
    <mergeCell ref="A4:C4"/>
    <mergeCell ref="D4:F4"/>
    <mergeCell ref="A1:P3"/>
    <mergeCell ref="G15:G16"/>
    <mergeCell ref="H15:H16"/>
    <mergeCell ref="J15:J16"/>
    <mergeCell ref="K15:K16"/>
    <mergeCell ref="A15:A16"/>
    <mergeCell ref="P15:P16"/>
  </mergeCells>
  <pageMargins left="0.25" right="0.25" top="0.75" bottom="0.75" header="0.3" footer="0.3"/>
  <pageSetup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PLANETARY GEARBOX</vt:lpstr>
      <vt:lpstr>'PLANETARY GEARBOX'!Print_Area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Genri Belarmino</dc:creator>
  <cp:lastModifiedBy>Rafael Ramirez</cp:lastModifiedBy>
  <cp:lastPrinted>2026-08-05T11:37:31Z</cp:lastPrinted>
  <dcterms:created xsi:type="dcterms:W3CDTF">2026-07-06T07:26:13Z</dcterms:created>
  <dcterms:modified xsi:type="dcterms:W3CDTF">2026-08-05T11:37:43Z</dcterms:modified>
</cp:coreProperties>
</file>